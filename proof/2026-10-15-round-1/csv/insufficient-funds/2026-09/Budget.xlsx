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Budget" sheetId="2" r:id="rId2"/>
    <sheet name="Leaks" sheetId="3" r:id="rId3"/>
    <sheet name="Every charge" sheetId="4" r:id="rId4"/>
  </sheets>
  <definedNames>
    <definedName name="_xlnm.Print_Titles" localSheetId="0">'Summary'!$1:$1</definedName>
    <definedName name="_xlnm.Print_Titles" localSheetId="1">'Budget'!$1:$1</definedName>
    <definedName name="_xlnm.Print_Titles" localSheetId="2">'Leaks'!$1:$1</definedName>
    <definedName name="_xlnm.Print_Titles" localSheetId="3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3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8" customWidth="1"/>
    <col min="2" max="2" width="105" customWidth="1"/>
  </cols>
  <sheetData>
    <row r="1" ht="27" customHeight="1">
      <c r="A1" s="1" t="inlineStr">
        <is>
          <t xml:space="preserve">Your month</t>
        </is>
      </c>
      <c r="B1" s="1" t="inlineStr">
        <is>
          <t xml:space="preserve">2026-09</t>
        </is>
      </c>
    </row>
    <row r="2" ht="27" customHeight="1">
      <c r="A2" s="0" t="inlineStr">
        <is>
          <t xml:space="preserve">Money story</t>
        </is>
      </c>
      <c r="B2" s="0" t="inlineStr">
        <is>
          <t xml:space="preserve">You brought in $3,280.00. You spent $3,760.35. That's $480.35 more than you made.</t>
        </is>
      </c>
    </row>
    <row r="3" ht="55" customHeight="1">
      <c r="A3" s="0" t="inlineStr">
        <is>
          <t xml:space="preserve">Leaks</t>
        </is>
      </c>
      <c r="B3" s="0" t="inlineStr">
        <is>
          <t xml:space="preserve">$421.00 a month is leaking ($5,052.00 a year). Top leaks: Delivery orders: 18 DoorDash/Uber Eats orders, about 4 a week, Overdraft and NSF returned-item fees on 9/29, YouTube Premium alongside Spotify: two music services.</t>
        </is>
      </c>
    </row>
    <row r="4" ht="40" customHeight="1">
      <c r="A4" s="0" t="inlineStr">
        <is>
          <t xml:space="preserve">Budget</t>
        </is>
      </c>
      <c r="B4" s="0" t="inlineStr">
        <is>
          <t xml:space="preserve">This budget frees $584.86 a month. $480.35 covers the previous monthly shortfall; $104.51 to a buffer and $0.00 to savings.</t>
        </is>
      </c>
    </row>
    <row r="5" ht="27" customHeight="1">
      <c r="A5" s="0" t="inlineStr">
        <is>
          <t xml:space="preserve">Money in (regular income)</t>
        </is>
      </c>
      <c r="B5" s="2">
        <v>3280.00</v>
      </c>
    </row>
    <row r="6" ht="27" customHeight="1">
      <c r="A6" s="0" t="inlineStr">
        <is>
          <t xml:space="preserve">Money out (spending after refunds)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Leaks per month</t>
        </is>
      </c>
      <c r="B8" s="2">
        <v>421.00</v>
      </c>
    </row>
    <row r="9" ht="27" customHeight="1">
      <c r="A9" s="0" t="inlineStr">
        <is>
          <t xml:space="preserve">Leaks per year</t>
        </is>
      </c>
      <c r="B9" s="2">
        <v>5052.00</v>
      </c>
    </row>
    <row r="10" ht="27" customHeight="1">
      <c r="A10" s="0" t="inlineStr">
        <is>
          <t xml:space="preserve">Budget frees</t>
        </is>
      </c>
      <c r="B10" s="2">
        <v>584.86</v>
      </c>
    </row>
    <row r="11" ht="27" customHeight="1">
      <c r="A11" s="0" t="inlineStr">
        <is>
          <t xml:space="preserve">Buffer allocation</t>
        </is>
      </c>
      <c r="B11" s="2">
        <v>104.51</v>
      </c>
    </row>
    <row r="12" ht="27" customHeight="1">
      <c r="A12" s="0" t="inlineStr">
        <is>
          <t xml:space="preserve">Buffer after allocation</t>
        </is>
      </c>
      <c r="B12" s="2">
        <v>-20.84</v>
      </c>
    </row>
    <row r="13" ht="27" customHeight="1">
      <c r="A13" s="0" t="inlineStr">
        <is>
          <t xml:space="preserve">Savings after buffer</t>
        </is>
      </c>
      <c r="B13" s="2">
        <v>0.00</v>
      </c>
    </row>
    <row r="14" ht="40" customHeight="1">
      <c r="A14" s="0" t="inlineStr">
        <is>
          <t xml:space="preserve">How to read this</t>
        </is>
      </c>
      <c r="B14" s="0" t="inlineStr">
        <is>
          <t xml:space="preserve">Leak amounts are proposed cuts. Yearly figures repeat the monthly amount 12 times, not promised savings. Items marked check this are excluded. Cancel assumptions need your confirmation.</t>
        </is>
      </c>
    </row>
    <row r="15" ht="55" customHeight="1">
      <c r="A15" s="0" t="inlineStr">
        <is>
          <t xml:space="preserve">Scope</t>
        </is>
      </c>
      <c r="B15" s="0" t="inlineStr">
        <is>
          <t xml:space="preserve">Transfers and card payments excluded; purchase refunds reduce their spending category.; Income means deposits Claude marked as regular income, not every positive entry.; A single month suggests subscriptions; it does not prove a trial, unused service, or billing interval.</t>
        </is>
      </c>
    </row>
    <row r="16" ht="40" customHeight="1">
      <c r="A16" s="0" t="inlineStr">
        <is>
          <t xml:space="preserve">Statement money in (includes transfers)</t>
        </is>
      </c>
      <c r="B16" s="2">
        <v>3425.00</v>
      </c>
    </row>
    <row r="17" ht="40" customHeight="1">
      <c r="A17" s="0" t="inlineStr">
        <is>
          <t xml:space="preserve">Statement money out (includes transfers)</t>
        </is>
      </c>
      <c r="B17" s="2">
        <v>3845.35</v>
      </c>
    </row>
    <row r="18" ht="175" customHeight="1">
      <c r="A18" s="0" t="inlineStr">
        <is>
          <t xml:space="preserve">Plan assumptions</t>
        </is>
      </c>
      <c r="B18" s="0" t="inlineStr">
        <is>
          <t xml:space="preserve">Paychecks stay at $1,640 every two weeks; months with a third paycheck are extra.
Cancel standalone Hulu only if your Disney+ Bundle includes Hulu; to keep it, add $11.99 back to Subscriptions and take it from Savings.
Cancel YouTube Premium and keep Spotify; swap them if you prefer YouTube Music.
Cancel DashPass and keep Uber One; swap them if you order mostly from DoorDash.
Netflix, Amazon Prime, Audible, ChatGPT Plus, Paramount+ and the Apple charge are kept in this plan; each is a candidate for review.
The $85 returned payment is assumed still owed and budgeted under Other.
The roommate's $60 utilities share is a reimbursement, kept out of income.
$500 is a proposed first buffer milestone; the account starts $125.35 below zero, so the first $125.35 just brings it back to zero.</t>
        </is>
      </c>
    </row>
    <row r="19" ht="27" customHeight="1">
      <c r="A19" s="0" t="inlineStr">
        <is>
          <t xml:space="preserve">A second look</t>
        </is>
      </c>
      <c r="B19" s="0" t="inlineStr">
        <is>
          <t xml:space="preserve">This is a second look at your own numbers, not financial advice.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E2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27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at this month's cost (roommate reimbursed $60 of it)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$55 + internet $65,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Same as September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Same as September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368.28</v>
      </c>
      <c r="D9" s="2">
        <f>C9-B9</f>
        <v>0.00</v>
      </c>
      <c r="E9" s="0" t="inlineStr">
        <is>
          <t xml:space="preserve">Kept whole so home cooking can replace half the delivery orders</t>
        </is>
      </c>
    </row>
    <row r="10" ht="40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of September's 18 orders ($610.06), about 2 a week instead of 4</t>
        </is>
      </c>
    </row>
    <row r="11" ht="40" customHeight="1">
      <c r="A11" s="0" t="inlineStr">
        <is>
          <t xml:space="preserve">Restaurants &amp; Coffee</t>
        </is>
      </c>
      <c r="B11" s="2">
        <v>191.72</v>
      </c>
      <c r="C11" s="2">
        <v>120.00</v>
      </c>
      <c r="D11" s="2">
        <f>C11-B11</f>
        <v>-71.72</v>
      </c>
      <c r="E11" s="0" t="inlineStr">
        <is>
          <t xml:space="preserve">Down from $191.72: fewer Starbucks runs (22 visits, $109.11) and sit-down meals</t>
        </is>
      </c>
    </row>
    <row r="12" ht="40" customHeight="1">
      <c r="A12" s="0" t="inlineStr">
        <is>
          <t xml:space="preserve">Subscriptions</t>
        </is>
      </c>
      <c r="B12" s="2">
        <v>155.85</v>
      </c>
      <c r="C12" s="2">
        <v>117.88</v>
      </c>
      <c r="D12" s="2">
        <f>C12-B12</f>
        <v>-37.97</v>
      </c>
      <c r="E12" s="0" t="inlineStr">
        <is>
          <t xml:space="preserve">Cancel standalone Hulu, DashPass and YouTube Premium; keep the rest for now</t>
        </is>
      </c>
    </row>
    <row r="13" ht="27" customHeight="1">
      <c r="A13" s="0" t="inlineStr">
        <is>
          <t xml:space="preserve">Shopping</t>
        </is>
      </c>
      <c r="B13" s="2">
        <v>327.14</v>
      </c>
      <c r="C13" s="2">
        <v>170.00</v>
      </c>
      <c r="D13" s="2">
        <f>C13-B13</f>
        <v>-157.14</v>
      </c>
      <c r="E13" s="0" t="inlineStr">
        <is>
          <t xml:space="preserve">Down from $327.14 (five Amazon orders plus Target)</t>
        </is>
      </c>
    </row>
    <row r="14" ht="27" customHeight="1">
      <c r="A14" s="0" t="inlineStr">
        <is>
          <t xml:space="preserve">Health &amp; Fitness</t>
        </is>
      </c>
      <c r="B14" s="2">
        <v>15.00</v>
      </c>
      <c r="C14" s="2">
        <v>15.00</v>
      </c>
      <c r="D14" s="2">
        <f>C14-B14</f>
        <v>0.00</v>
      </c>
      <c r="E14" s="0" t="inlineStr">
        <is>
          <t xml:space="preserve">Planet Fitness unchanged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One haircut, unchanged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Movies and bowling kept as guilt-free fun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ATM, overdraft and NSF fees avoided; $12 maintenance fee kept until waiver terms are confirmed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60.00</v>
      </c>
      <c r="D22" s="2">
        <f>C22-B22</f>
        <v>-20.00</v>
      </c>
      <c r="E22" s="0" t="inlineStr">
        <is>
          <t xml:space="preserve">Down from $80, withdrawn at your own bank's ATMs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104.51</v>
      </c>
      <c r="D23" s="2">
        <f>C23-B23</f>
        <v>104.51</v>
      </c>
      <c r="E23" s="0" t="inlineStr">
        <is>
          <t xml:space="preserve">Everything left over goes to the buffer first</t>
        </is>
      </c>
    </row>
    <row r="24" ht="40" customHeight="1">
      <c r="A24" s="0" t="inlineStr">
        <is>
          <t xml:space="preserve">Other</t>
        </is>
      </c>
      <c r="B24" s="2">
        <v>0.00</v>
      </c>
      <c r="C24" s="2">
        <v>85.00</v>
      </c>
      <c r="D24" s="2">
        <f>C24-B24</f>
        <v>85.00</v>
      </c>
      <c r="E24" s="0" t="inlineStr">
        <is>
          <t xml:space="preserve">The $85 online payment returned on 9/28 is probably still owed; payee not shown on statement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actually received</t>
        </is>
      </c>
    </row>
    <row r="27" ht="27" customHeight="1">
      <c r="A27" s="0" t="inlineStr">
        <is>
          <t xml:space="preserve">Transfers (excluded)</t>
        </is>
      </c>
      <c r="B27" s="2">
        <v>-60.00</v>
      </c>
      <c r="C27" s="2">
        <v>0.00</v>
      </c>
      <c r="D27" s="0" t="inlineStr">
        <is>
          <t xml:space="preserve"/>
        </is>
      </c>
      <c r="E27" s="0" t="inlineStr">
        <is>
          <t xml:space="preserve">Excluded from the totals above</t>
        </is>
      </c>
    </row>
    <row r="28" ht="27" customHeight="1">
      <c r="A28" s="0" t="inlineStr">
        <is>
          <t xml:space="preserve">Buffer within Savings</t>
        </is>
      </c>
      <c r="B28" s="0" t="inlineStr">
        <is>
          <t xml:space="preserve"/>
        </is>
      </c>
      <c r="C28" s="2">
        <v>104.51</v>
      </c>
      <c r="D28" s="0" t="inlineStr">
        <is>
          <t xml:space="preserve"/>
        </is>
      </c>
      <c r="E28" s="0" t="inlineStr">
        <is>
          <t xml:space="preserve">Already included in Savings, not an extra expense</t>
        </is>
      </c>
    </row>
    <row r="29" ht="40" customHeight="1">
      <c r="A29" s="0" t="inlineStr">
        <is>
          <t xml:space="preserve">How to change this</t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>Tell Claude what to keep, then rebuild. Editing cells does not rerun plan checks.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45" customWidth="1"/>
    <col min="2" max="2" width="16" customWidth="1"/>
    <col min="3" max="3" width="17" customWidth="1"/>
    <col min="4" max="4" width="48" customWidth="1"/>
    <col min="5" max="5" width="45" customWidth="1"/>
    <col min="6" max="6" width="40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Lines it comes from</t>
        </is>
      </c>
    </row>
    <row r="2" ht="70" customHeight="1">
      <c r="A2" s="0" t="inlineStr">
        <is>
          <t xml:space="preserve">Delivery orders: 18 DoorDash/Uber Eats orders, about 4 a week [this month repeated]</t>
        </is>
      </c>
      <c r="B2" s="2">
        <v>305.03</v>
      </c>
      <c r="C2" s="2">
        <v>3660.36</v>
      </c>
      <c r="D2" s="0" t="inlineStr">
        <is>
          <t xml:space="preserve">Cut to about 2 orders a week; cook or pick up the rest</t>
        </is>
      </c>
      <c r="E2" s="0" t="inlineStr">
        <is>
          <t xml:space="preserve">Your own habits</t>
        </is>
      </c>
      <c r="F2" s="0" t="inlineStr">
        <is>
          <t xml:space="preserve">S1:13, S1:19, S1:22, S1:26, S1:31, S1:35, S1:38, S1:45, S1:52, S1:55, S1:62, S1:69, S1:73, S1:81, S1:90, S1:95, S1:98, S1:106</t>
        </is>
      </c>
    </row>
    <row r="3" ht="40" customHeight="1">
      <c r="A3" s="0" t="inlineStr">
        <is>
          <t xml:space="preserve">Overdraft and NSF returned-item fees on 9/29 [this month repeated]</t>
        </is>
      </c>
      <c r="B3" s="2">
        <v>65.00</v>
      </c>
      <c r="C3" s="2">
        <v>780.00</v>
      </c>
      <c r="D3" s="0" t="inlineStr">
        <is>
          <t xml:space="preserve">Set low-balance alerts and build the buffer so the account stays above zero</t>
        </is>
      </c>
      <c r="E3" s="0" t="inlineStr">
        <is>
          <t xml:space="preserve">Cedar Kite Bank app &gt; Alerts</t>
        </is>
      </c>
      <c r="F3" s="0" t="inlineStr">
        <is>
          <t xml:space="preserve">S1:103, S1:104</t>
        </is>
      </c>
    </row>
    <row r="4" ht="40" customHeight="1">
      <c r="A4" s="0" t="inlineStr">
        <is>
          <t xml:space="preserve">YouTube Premium alongside Spotify: two music services</t>
        </is>
      </c>
      <c r="B4" s="2">
        <v>15.99</v>
      </c>
      <c r="C4" s="2">
        <v>191.88</v>
      </c>
      <c r="D4" s="0" t="inlineStr">
        <is>
          <t xml:space="preserve">Keep one music service; this plan cancels YouTube Premium</t>
        </is>
      </c>
      <c r="E4" s="0" t="inlineStr">
        <is>
          <t xml:space="preserve">YouTube &gt; Your Premium benefits &gt; Manage membership</t>
        </is>
      </c>
      <c r="F4" s="0" t="inlineStr">
        <is>
          <t xml:space="preserve">S1:28</t>
        </is>
      </c>
    </row>
    <row r="5" ht="40" customHeight="1">
      <c r="A5" s="0" t="inlineStr">
        <is>
          <t xml:space="preserve">Non-network and operator ATM fees on two withdrawals [this month repeated]</t>
        </is>
      </c>
      <c r="B5" s="2">
        <v>13.00</v>
      </c>
      <c r="C5" s="2">
        <v>156.00</v>
      </c>
      <c r="D5" s="0" t="inlineStr">
        <is>
          <t xml:space="preserve">Use your own bank's ATMs or get cash back at the grocery store</t>
        </is>
      </c>
      <c r="E5" s="0" t="inlineStr">
        <is>
          <t xml:space="preserve">Cedar Kite Bank ATM locator</t>
        </is>
      </c>
      <c r="F5" s="0" t="inlineStr">
        <is>
          <t xml:space="preserve">S1:42, S1:43, S1:86, S1:87</t>
        </is>
      </c>
    </row>
    <row r="6" ht="40" customHeight="1">
      <c r="A6" s="0" t="inlineStr">
        <is>
          <t xml:space="preserve">Standalone Hulu alongside the Disney+ Bundle, if the bundle includes Hulu</t>
        </is>
      </c>
      <c r="B6" s="2">
        <v>11.99</v>
      </c>
      <c r="C6" s="2">
        <v>143.88</v>
      </c>
      <c r="D6" s="0" t="inlineStr">
        <is>
          <t xml:space="preserve">Confirm your bundle includes Hulu, then cancel the standalone plan</t>
        </is>
      </c>
      <c r="E6" s="0" t="inlineStr">
        <is>
          <t xml:space="preserve">Hulu &gt; Account &gt; Cancel</t>
        </is>
      </c>
      <c r="F6" s="0" t="inlineStr">
        <is>
          <t xml:space="preserve">S1:14</t>
        </is>
      </c>
    </row>
    <row r="7" ht="40" customHeight="1">
      <c r="A7" s="0" t="inlineStr">
        <is>
          <t xml:space="preserve">DashPass and Uber One: two delivery passes</t>
        </is>
      </c>
      <c r="B7" s="2">
        <v>9.99</v>
      </c>
      <c r="C7" s="2">
        <v>119.88</v>
      </c>
      <c r="D7" s="0" t="inlineStr">
        <is>
          <t xml:space="preserve">Keep one pass; this plan keeps Uber One because it also covers rides</t>
        </is>
      </c>
      <c r="E7" s="0" t="inlineStr">
        <is>
          <t xml:space="preserve">DoorDash app &gt; Account &gt; DashPass &gt; End subscription</t>
        </is>
      </c>
      <c r="F7" s="0" t="inlineStr">
        <is>
          <t xml:space="preserve">S1:50</t>
        </is>
      </c>
    </row>
    <row r="8" ht="40" customHeight="1">
      <c r="A8" s="0" t="inlineStr">
        <is>
          <t xml:space="preserve">Two identical Target charges on 9/18 ($28.74 each) [check this; excluded]</t>
        </is>
      </c>
      <c r="B8" s="2">
        <v>57.48</v>
      </c>
      <c r="C8" s="2">
        <v>689.76</v>
      </c>
      <c r="D8" s="0" t="inlineStr">
        <is>
          <t xml:space="preserve">Check your receipt; if you only bought once, dispute one with Target or your bank</t>
        </is>
      </c>
      <c r="E8" s="0" t="inlineStr">
        <is>
          <t xml:space="preserve">Target receipt or Cedar Kite Bank &gt; dispute</t>
        </is>
      </c>
      <c r="F8" s="0" t="inlineStr">
        <is>
          <t xml:space="preserve">S1:64, S1:65</t>
        </is>
      </c>
    </row>
    <row r="9" ht="40" customHeight="1">
      <c r="A9" s="0" t="inlineStr">
        <is>
          <t xml:space="preserve">$12 monthly maintenance fee [check this; excluded]</t>
        </is>
      </c>
      <c r="B9" s="2">
        <v>12.00</v>
      </c>
      <c r="C9" s="2">
        <v>144.00</v>
      </c>
      <c r="D9" s="0" t="inlineStr">
        <is>
          <t xml:space="preserve">Check whether your direct deposits qualify for a fee waiver</t>
        </is>
      </c>
      <c r="E9" s="0" t="inlineStr">
        <is>
          <t xml:space="preserve">Cedar Kite Bank account terms</t>
        </is>
      </c>
      <c r="F9" s="0" t="inlineStr">
        <is>
          <t xml:space="preserve">S1:107</t>
        </is>
      </c>
    </row>
    <row r="10" ht="40" customHeight="1">
      <c r="A10" s="0" t="inlineStr">
        <is>
          <t xml:space="preserve">Paramount+ as a fourth streaming service [check this; excluded]</t>
        </is>
      </c>
      <c r="B10" s="2">
        <v>8.99</v>
      </c>
      <c r="C10" s="2">
        <v>107.88</v>
      </c>
      <c r="D10" s="0" t="inlineStr">
        <is>
          <t xml:space="preserve">Keep only if you watched it this month</t>
        </is>
      </c>
      <c r="E10" s="0" t="inlineStr">
        <is>
          <t xml:space="preserve">Paramount+ &gt; Account &gt; Cancel</t>
        </is>
      </c>
      <c r="F10" s="0" t="inlineStr">
        <is>
          <t xml:space="preserve">S1:79</t>
        </is>
      </c>
    </row>
    <row r="11" ht="40" customHeight="1">
      <c r="A11" s="0" t="inlineStr">
        <is>
          <t xml:space="preserve">Apple billing $2.99, service not named [check this; excluded]</t>
        </is>
      </c>
      <c r="B11" s="2">
        <v>2.99</v>
      </c>
      <c r="C11" s="2">
        <v>35.88</v>
      </c>
      <c r="D11" s="0" t="inlineStr">
        <is>
          <t xml:space="preserve">See which Apple service this is and whether you still use it</t>
        </is>
      </c>
      <c r="E11" s="0" t="inlineStr">
        <is>
          <t xml:space="preserve">iPhone Settings &gt; your name &gt; Subscriptions</t>
        </is>
      </c>
      <c r="F11" s="0" t="inlineStr">
        <is>
          <t xml:space="preserve">S1:36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S1:10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S1:11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S1:12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S1:13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S1:14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S1:15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S1:16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S1:17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S1:18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S1:19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S1:20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S1:21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S1:22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S1:23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S1:24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S1:25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S1:26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S1:27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S1:28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S1:29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S1:30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S1:31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S1:32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S1:33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S1:34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S1:35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S1:36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S1:37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S1:38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S1:39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S1:40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S1:41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S1:42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S1:43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S1:44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S1:45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Health &amp; Fitness</t>
        </is>
      </c>
      <c r="E38" s="0" t="inlineStr">
        <is>
          <t xml:space="preserve">subscription</t>
        </is>
      </c>
      <c r="F38" s="0" t="inlineStr">
        <is>
          <t xml:space="preserve">S1:46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S1:47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S1:48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S1:49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S1:50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S1:51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S1:52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S1:53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S1:54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S1:55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S1:56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S1:57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S1:58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S1:59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S1:60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S1:61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S1:62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S1:63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S1:64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S1:65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S1:66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S1:67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S1:68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S1:69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S1:70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S1:71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S1:72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S1:73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S1:74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S1:75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S1:76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S1:77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S1:78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S1:79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S1:80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S1:81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S1:82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S1:83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S1:84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S1:85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S1:86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S1:87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S1:88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S1:89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S1:90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S1:91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S1:92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S1:93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S1:94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S1:95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S1:96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S1:97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S1:98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S1:99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S1:100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S1:101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S1:102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S1:103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S1:104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S1:105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S1:106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S1:107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