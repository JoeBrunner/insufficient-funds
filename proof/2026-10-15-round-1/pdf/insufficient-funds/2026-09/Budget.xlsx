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Budget" sheetId="2" r:id="rId2"/>
    <sheet name="Leaks" sheetId="3" r:id="rId3"/>
    <sheet name="Every charge" sheetId="4" r:id="rId4"/>
  </sheets>
  <definedNames>
    <definedName name="_xlnm.Print_Titles" localSheetId="0">'Summary'!$1:$1</definedName>
    <definedName name="_xlnm.Print_Titles" localSheetId="1">'Budget'!$1:$1</definedName>
    <definedName name="_xlnm.Print_Titles" localSheetId="2">'Leaks'!$1:$1</definedName>
    <definedName name="_xlnm.Print_Titles" localSheetId="3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3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8" customWidth="1"/>
    <col min="2" max="2" width="105" customWidth="1"/>
  </cols>
  <sheetData>
    <row r="1" ht="27" customHeight="1">
      <c r="A1" s="1" t="inlineStr">
        <is>
          <t xml:space="preserve">Your month</t>
        </is>
      </c>
      <c r="B1" s="1" t="inlineStr">
        <is>
          <t xml:space="preserve">2026-09</t>
        </is>
      </c>
    </row>
    <row r="2" ht="27" customHeight="1">
      <c r="A2" s="0" t="inlineStr">
        <is>
          <t xml:space="preserve">Money story</t>
        </is>
      </c>
      <c r="B2" s="0" t="inlineStr">
        <is>
          <t xml:space="preserve">You brought in $3,280.00. You spent $3,760.35. That's $480.35 more than you made.</t>
        </is>
      </c>
    </row>
    <row r="3" ht="40" customHeight="1">
      <c r="A3" s="0" t="inlineStr">
        <is>
          <t xml:space="preserve">Leaks</t>
        </is>
      </c>
      <c r="B3" s="0" t="inlineStr">
        <is>
          <t xml:space="preserve">$475.56 a month is leaking ($5,706.72 a year). Top leaks: Food delivery: 18 orders, about 4 a week, Overdraft and NSF returned-item fees on 9/29, Daily Starbucks: 22 visits.</t>
        </is>
      </c>
    </row>
    <row r="4" ht="40" customHeight="1">
      <c r="A4" s="0" t="inlineStr">
        <is>
          <t xml:space="preserve">Budget</t>
        </is>
      </c>
      <c r="B4" s="0" t="inlineStr">
        <is>
          <t xml:space="preserve">This budget frees $538.14 a month. $480.35 covers the previous monthly shortfall; $57.79 to a buffer and $0.00 to savings.</t>
        </is>
      </c>
    </row>
    <row r="5" ht="27" customHeight="1">
      <c r="A5" s="0" t="inlineStr">
        <is>
          <t xml:space="preserve">Money in (regular income)</t>
        </is>
      </c>
      <c r="B5" s="2">
        <v>3280.00</v>
      </c>
    </row>
    <row r="6" ht="27" customHeight="1">
      <c r="A6" s="0" t="inlineStr">
        <is>
          <t xml:space="preserve">Money out (spending after refunds)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Leaks per month</t>
        </is>
      </c>
      <c r="B8" s="2">
        <v>475.56</v>
      </c>
    </row>
    <row r="9" ht="27" customHeight="1">
      <c r="A9" s="0" t="inlineStr">
        <is>
          <t xml:space="preserve">Leaks per year</t>
        </is>
      </c>
      <c r="B9" s="2">
        <v>5706.72</v>
      </c>
    </row>
    <row r="10" ht="27" customHeight="1">
      <c r="A10" s="0" t="inlineStr">
        <is>
          <t xml:space="preserve">Budget frees</t>
        </is>
      </c>
      <c r="B10" s="2">
        <v>538.14</v>
      </c>
    </row>
    <row r="11" ht="27" customHeight="1">
      <c r="A11" s="0" t="inlineStr">
        <is>
          <t xml:space="preserve">Buffer allocation</t>
        </is>
      </c>
      <c r="B11" s="2">
        <v>57.79</v>
      </c>
    </row>
    <row r="12" ht="27" customHeight="1">
      <c r="A12" s="0" t="inlineStr">
        <is>
          <t xml:space="preserve">Buffer after allocation</t>
        </is>
      </c>
      <c r="B12" s="2">
        <v>-67.56</v>
      </c>
    </row>
    <row r="13" ht="27" customHeight="1">
      <c r="A13" s="0" t="inlineStr">
        <is>
          <t xml:space="preserve">Savings after buffer</t>
        </is>
      </c>
      <c r="B13" s="2">
        <v>0.00</v>
      </c>
    </row>
    <row r="14" ht="40" customHeight="1">
      <c r="A14" s="0" t="inlineStr">
        <is>
          <t xml:space="preserve">How to read this</t>
        </is>
      </c>
      <c r="B14" s="0" t="inlineStr">
        <is>
          <t xml:space="preserve">Leak amounts are proposed cuts. Yearly figures repeat the monthly amount 12 times, not promised savings. Items marked check this are excluded. Cancel assumptions need your confirmation.</t>
        </is>
      </c>
    </row>
    <row r="15" ht="55" customHeight="1">
      <c r="A15" s="0" t="inlineStr">
        <is>
          <t xml:space="preserve">Scope</t>
        </is>
      </c>
      <c r="B15" s="0" t="inlineStr">
        <is>
          <t xml:space="preserve">Transfers and card payments excluded; purchase refunds reduce their spending category.; Income means deposits Claude marked as regular income, not every positive entry.; A single month suggests subscriptions; it does not prove a trial, unused service, or billing interval.</t>
        </is>
      </c>
    </row>
    <row r="16" ht="40" customHeight="1">
      <c r="A16" s="0" t="inlineStr">
        <is>
          <t xml:space="preserve">Statement money in (includes transfers)</t>
        </is>
      </c>
      <c r="B16" s="2">
        <v>3425.00</v>
      </c>
    </row>
    <row r="17" ht="40" customHeight="1">
      <c r="A17" s="0" t="inlineStr">
        <is>
          <t xml:space="preserve">Statement money out (includes transfers)</t>
        </is>
      </c>
      <c r="B17" s="2">
        <v>3845.35</v>
      </c>
    </row>
    <row r="18" ht="190" customHeight="1">
      <c r="A18" s="0" t="inlineStr">
        <is>
          <t xml:space="preserve">Plan assumptions</t>
        </is>
      </c>
      <c r="B18" s="0" t="inlineStr">
        <is>
          <t xml:space="preserve">Your Disney+ Bundle includes Hulu; if it doesn't, keep Hulu and add $11.99 back to Subscriptions.
You keep Spotify and cancel YouTube Premium (swap if you prefer YouTube).
You keep Uber One and cancel DashPass.
Delivery drops to about 2 orders a week and Starbucks to about half the days; yearly figures repeat September's pattern, they are not guaranteed savings.
The $85 online payment returned on 9/28 is a bill still owed; the payee isn't shown, so confirm who it was for. It's budgeted once under Other.
The $12 maintenance fee stays until you confirm a waiver.
Overdraft/NSF fees stop only once the balance stays positive; the account starts October at -$125.35.
The roommate's $60 utilities reimbursement is treated as a transfer, not income.
Paychecks land on the 4th and 18th, but rent ($975) leaves on the 5th and loans/insurance/bills around the 19th-25th; the balance ran down to $2.52 before the 9/18 paycheck.</t>
        </is>
      </c>
    </row>
    <row r="19" ht="27" customHeight="1">
      <c r="A19" s="0" t="inlineStr">
        <is>
          <t xml:space="preserve">A second look</t>
        </is>
      </c>
      <c r="B19" s="0" t="inlineStr">
        <is>
          <t xml:space="preserve">This is a second look at your own numbers, not financial advice.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E2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unchanged.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bill at this month's cost (roommate reimburses part of it).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and home internet unchanged.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unchanged.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unchanged.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Gas kept at this month's level.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Two Uber rides; kept as is.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395.00</v>
      </c>
      <c r="D9" s="2">
        <f>C9-B9</f>
        <v>26.72</v>
      </c>
      <c r="E9" s="0" t="inlineStr">
        <is>
          <t xml:space="preserve">Up about $27 to cook some of the meals that used to be delivered.</t>
        </is>
      </c>
    </row>
    <row r="10" ht="40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of September's 18 orders ($610.06): about 2 a week instead of 4.</t>
        </is>
      </c>
    </row>
    <row r="11" ht="40" customHeight="1">
      <c r="A11" s="0" t="inlineStr">
        <is>
          <t xml:space="preserve">Restaurants &amp; Coffee</t>
        </is>
      </c>
      <c r="B11" s="2">
        <v>191.72</v>
      </c>
      <c r="C11" s="2">
        <v>120.00</v>
      </c>
      <c r="D11" s="2">
        <f>C11-B11</f>
        <v>-71.72</v>
      </c>
      <c r="E11" s="0" t="inlineStr">
        <is>
          <t xml:space="preserve">Starbucks 22 times ($109.11); brewing at home about half the days, eating out a little less.</t>
        </is>
      </c>
    </row>
    <row r="12" ht="40" customHeight="1">
      <c r="A12" s="0" t="inlineStr">
        <is>
          <t xml:space="preserve">Subscriptions</t>
        </is>
      </c>
      <c r="B12" s="2">
        <v>155.85</v>
      </c>
      <c r="C12" s="2">
        <v>117.88</v>
      </c>
      <c r="D12" s="2">
        <f>C12-B12</f>
        <v>-37.97</v>
      </c>
      <c r="E12" s="0" t="inlineStr">
        <is>
          <t xml:space="preserve">Drop standalone Hulu, YouTube Premium and DashPass; keep the rest pending checks.</t>
        </is>
      </c>
    </row>
    <row r="13" ht="40" customHeight="1">
      <c r="A13" s="0" t="inlineStr">
        <is>
          <t xml:space="preserve">Shopping</t>
        </is>
      </c>
      <c r="B13" s="2">
        <v>327.14</v>
      </c>
      <c r="C13" s="2">
        <v>170.00</v>
      </c>
      <c r="D13" s="2">
        <f>C13-B13</f>
        <v>-157.14</v>
      </c>
      <c r="E13" s="0" t="inlineStr">
        <is>
          <t xml:space="preserve">Amazon ($269.66 over 5 orders) and Target ($57.48); about half, and wait 48 hours on non-essentials.</t>
        </is>
      </c>
    </row>
    <row r="14" ht="27" customHeight="1">
      <c r="A14" s="0" t="inlineStr">
        <is>
          <t xml:space="preserve">Health &amp; Fitness</t>
        </is>
      </c>
      <c r="B14" s="2">
        <v>15.00</v>
      </c>
      <c r="C14" s="2">
        <v>15.00</v>
      </c>
      <c r="D14" s="2">
        <f>C14-B14</f>
        <v>0.00</v>
      </c>
      <c r="E14" s="0" t="inlineStr">
        <is>
          <t xml:space="preserve">Planet Fitness unchanged.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Haircut kept.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Movies and bowling kept: guilt-free fun.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Unused.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Unused.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Unused.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minimum unchanged.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ATM, overdraft and NSF fees avoidable; $12 maintenance fee kept until waiver terms are confirmed.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80.00</v>
      </c>
      <c r="D22" s="2">
        <f>C22-B22</f>
        <v>0.00</v>
      </c>
      <c r="E22" s="0" t="inlineStr">
        <is>
          <t xml:space="preserve">Same cash, from the bank's own ATMs.</t>
        </is>
      </c>
    </row>
    <row r="23" ht="40" customHeight="1">
      <c r="A23" s="0" t="inlineStr">
        <is>
          <t xml:space="preserve">Savings</t>
        </is>
      </c>
      <c r="B23" s="2">
        <v>0.00</v>
      </c>
      <c r="C23" s="2">
        <v>57.79</v>
      </c>
      <c r="D23" s="2">
        <f>C23-B23</f>
        <v>57.79</v>
      </c>
      <c r="E23" s="0" t="inlineStr">
        <is>
          <t xml:space="preserve">Everything left goes to the buffer first, to climb out of the -$125.35 balance and stop overdraft fees.</t>
        </is>
      </c>
    </row>
    <row r="24" ht="40" customHeight="1">
      <c r="A24" s="0" t="inlineStr">
        <is>
          <t xml:space="preserve">Other</t>
        </is>
      </c>
      <c r="B24" s="2">
        <v>0.00</v>
      </c>
      <c r="C24" s="2">
        <v>85.00</v>
      </c>
      <c r="D24" s="2">
        <f>C24-B24</f>
        <v>85.00</v>
      </c>
      <c r="E24" s="0" t="inlineStr">
        <is>
          <t xml:space="preserve">Retry the $85 online payment that was returned on 9/28 once you confirm who it was for.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actually received</t>
        </is>
      </c>
    </row>
    <row r="27" ht="27" customHeight="1">
      <c r="A27" s="0" t="inlineStr">
        <is>
          <t xml:space="preserve">Transfers (excluded)</t>
        </is>
      </c>
      <c r="B27" s="2">
        <v>-60.00</v>
      </c>
      <c r="C27" s="2">
        <v>0.00</v>
      </c>
      <c r="D27" s="0" t="inlineStr">
        <is>
          <t xml:space="preserve"/>
        </is>
      </c>
      <c r="E27" s="0" t="inlineStr">
        <is>
          <t xml:space="preserve">Excluded from the totals above</t>
        </is>
      </c>
    </row>
    <row r="28" ht="27" customHeight="1">
      <c r="A28" s="0" t="inlineStr">
        <is>
          <t xml:space="preserve">Buffer within Savings</t>
        </is>
      </c>
      <c r="B28" s="0" t="inlineStr">
        <is>
          <t xml:space="preserve"/>
        </is>
      </c>
      <c r="C28" s="2">
        <v>57.79</v>
      </c>
      <c r="D28" s="0" t="inlineStr">
        <is>
          <t xml:space="preserve"/>
        </is>
      </c>
      <c r="E28" s="0" t="inlineStr">
        <is>
          <t xml:space="preserve">Already included in Savings, not an extra expense</t>
        </is>
      </c>
    </row>
    <row r="29" ht="40" customHeight="1">
      <c r="A29" s="0" t="inlineStr">
        <is>
          <t xml:space="preserve">How to change this</t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>Tell Claude what to keep, then rebuild. Editing cells does not rerun plan checks.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45" customWidth="1"/>
    <col min="2" max="2" width="16" customWidth="1"/>
    <col min="3" max="3" width="17" customWidth="1"/>
    <col min="4" max="4" width="48" customWidth="1"/>
    <col min="5" max="5" width="45" customWidth="1"/>
    <col min="6" max="6" width="40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Lines it comes from</t>
        </is>
      </c>
    </row>
    <row r="2" ht="70" customHeight="1">
      <c r="A2" s="0" t="inlineStr">
        <is>
          <t xml:space="preserve">Food delivery: 18 orders, about 4 a week [this month repeated]</t>
        </is>
      </c>
      <c r="B2" s="2">
        <v>305.03</v>
      </c>
      <c r="C2" s="2">
        <v>3660.36</v>
      </c>
      <c r="D2" s="0" t="inlineStr">
        <is>
          <t xml:space="preserve">Cap delivery at about 2 orders a week</t>
        </is>
      </c>
      <c r="E2" s="0" t="inlineStr">
        <is>
          <t xml:space="preserve">Delete saved cards from one app, or set a weekly limit</t>
        </is>
      </c>
      <c r="F2" s="0" t="inlineStr">
        <is>
          <t xml:space="preserve">S1:5, S1:11, S1:14, S1:18, S1:23, S1:27, S1:30, S1:37, S1:44, S1:47, S1:54, S1:61, S1:65, S1:73, S1:82, S1:87, S1:90, S1:98</t>
        </is>
      </c>
    </row>
    <row r="3" ht="40" customHeight="1">
      <c r="A3" s="0" t="inlineStr">
        <is>
          <t xml:space="preserve">Overdraft and NSF returned-item fees on 9/29 [this month repeated]</t>
        </is>
      </c>
      <c r="B3" s="2">
        <v>65.00</v>
      </c>
      <c r="C3" s="2">
        <v>780.00</v>
      </c>
      <c r="D3" s="0" t="inlineStr">
        <is>
          <t xml:space="preserve">Build the buffer and set a low-balance alert (e.g., under $100)</t>
        </is>
      </c>
      <c r="E3" s="0" t="inlineStr">
        <is>
          <t xml:space="preserve">Bank app &gt; Alerts</t>
        </is>
      </c>
      <c r="F3" s="0" t="inlineStr">
        <is>
          <t xml:space="preserve">S1:95, S1:96</t>
        </is>
      </c>
    </row>
    <row r="4" ht="85" customHeight="1">
      <c r="A4" s="0" t="inlineStr">
        <is>
          <t xml:space="preserve">Daily Starbucks: 22 visits [this month repeated]</t>
        </is>
      </c>
      <c r="B4" s="2">
        <v>54.56</v>
      </c>
      <c r="C4" s="2">
        <v>654.72</v>
      </c>
      <c r="D4" s="0" t="inlineStr">
        <is>
          <t xml:space="preserve">Make coffee at home about half the days</t>
        </is>
      </c>
      <c r="E4" s="0" t="inlineStr">
        <is>
          <t xml:space="preserve">Habit</t>
        </is>
      </c>
      <c r="F4" s="0" t="inlineStr">
        <is>
          <t xml:space="preserve">S1:2, S1:4, S1:8, S1:10, S1:21, S1:22, S1:24, S1:26, S1:29, S1:39, S1:43, S1:46, S1:50, S1:53, S1:64, S1:68, S1:72, S1:75, S1:81, S1:89, S1:93, S1:97</t>
        </is>
      </c>
    </row>
    <row r="5" ht="55" customHeight="1">
      <c r="A5" s="0" t="inlineStr">
        <is>
          <t xml:space="preserve">Two music services: YouTube Premium (includes YouTube Music) and Spotify [this month repeated]</t>
        </is>
      </c>
      <c r="B5" s="2">
        <v>15.99</v>
      </c>
      <c r="C5" s="2">
        <v>191.88</v>
      </c>
      <c r="D5" s="0" t="inlineStr">
        <is>
          <t xml:space="preserve">Keep one; this plan keeps Spotify and drops YouTube Premium</t>
        </is>
      </c>
      <c r="E5" s="0" t="inlineStr">
        <is>
          <t xml:space="preserve">Google Play &gt; Payments &amp; subscriptions &gt; Subscriptions, or youtube.com/paid_memberships</t>
        </is>
      </c>
      <c r="F5" s="0" t="inlineStr">
        <is>
          <t xml:space="preserve">S1:20</t>
        </is>
      </c>
    </row>
    <row r="6" ht="40" customHeight="1">
      <c r="A6" s="0" t="inlineStr">
        <is>
          <t xml:space="preserve">Out-of-network ATM fees: $6.50 per withdrawal, twice [this month repeated]</t>
        </is>
      </c>
      <c r="B6" s="2">
        <v>13.00</v>
      </c>
      <c r="C6" s="2">
        <v>156.00</v>
      </c>
      <c r="D6" s="0" t="inlineStr">
        <is>
          <t xml:space="preserve">Use Cedar Kite Bank's own ATMs or get cash back at the grocery store</t>
        </is>
      </c>
      <c r="E6" s="0" t="inlineStr">
        <is>
          <t xml:space="preserve">Bank app &gt; ATM locator</t>
        </is>
      </c>
      <c r="F6" s="0" t="inlineStr">
        <is>
          <t xml:space="preserve">S1:34, S1:35, S1:78, S1:79</t>
        </is>
      </c>
    </row>
    <row r="7" ht="55" customHeight="1">
      <c r="A7" s="0" t="inlineStr">
        <is>
          <t xml:space="preserve">Hulu billed separately next to the Disney+ Bundle, which may already include Hulu [this month repeated]</t>
        </is>
      </c>
      <c r="B7" s="2">
        <v>11.99</v>
      </c>
      <c r="C7" s="2">
        <v>143.88</v>
      </c>
      <c r="D7" s="0" t="inlineStr">
        <is>
          <t xml:space="preserve">Cancel standalone Hulu if your bundle includes it</t>
        </is>
      </c>
      <c r="E7" s="0" t="inlineStr">
        <is>
          <t xml:space="preserve">Hulu &gt; Account &gt; Cancel your subscription</t>
        </is>
      </c>
      <c r="F7" s="0" t="inlineStr">
        <is>
          <t xml:space="preserve">S1:6</t>
        </is>
      </c>
    </row>
    <row r="8" ht="40" customHeight="1">
      <c r="A8" s="0" t="inlineStr">
        <is>
          <t xml:space="preserve">Two delivery passes: DoorDash DashPass and Uber One [this month repeated]</t>
        </is>
      </c>
      <c r="B8" s="2">
        <v>9.99</v>
      </c>
      <c r="C8" s="2">
        <v>119.88</v>
      </c>
      <c r="D8" s="0" t="inlineStr">
        <is>
          <t xml:space="preserve">Keep one; this plan drops DashPass</t>
        </is>
      </c>
      <c r="E8" s="0" t="inlineStr">
        <is>
          <t xml:space="preserve">DoorDash app &gt; Account &gt; DashPass &gt; End subscription</t>
        </is>
      </c>
      <c r="F8" s="0" t="inlineStr">
        <is>
          <t xml:space="preserve">S1:42</t>
        </is>
      </c>
    </row>
    <row r="9" ht="40" customHeight="1">
      <c r="A9" s="0" t="inlineStr">
        <is>
          <t xml:space="preserve">Two identical Target charges of $28.74 on 9/18 [check this; excluded]</t>
        </is>
      </c>
      <c r="B9" s="2">
        <v>57.48</v>
      </c>
      <c r="C9" s="2">
        <v>689.76</v>
      </c>
      <c r="D9" s="0" t="inlineStr">
        <is>
          <t xml:space="preserve">Check your receipts; if only one purchase, dispute the other with Target or the bank</t>
        </is>
      </c>
      <c r="E9" s="0" t="inlineStr">
        <is>
          <t xml:space="preserve">Target receipts / bank app dispute</t>
        </is>
      </c>
      <c r="F9" s="0" t="inlineStr">
        <is>
          <t xml:space="preserve">S1:56, S1:57</t>
        </is>
      </c>
    </row>
    <row r="10" ht="40" customHeight="1">
      <c r="A10" s="0" t="inlineStr">
        <is>
          <t xml:space="preserve">Monthly maintenance fee $12 [check this; excluded]</t>
        </is>
      </c>
      <c r="B10" s="2">
        <v>12.00</v>
      </c>
      <c r="C10" s="2">
        <v>144.00</v>
      </c>
      <c r="D10" s="0" t="inlineStr">
        <is>
          <t xml:space="preserve">Check the waiver terms (often direct deposit or a minimum balance)</t>
        </is>
      </c>
      <c r="E10" s="0" t="inlineStr">
        <is>
          <t xml:space="preserve">Bank fee schedule</t>
        </is>
      </c>
      <c r="F10" s="0" t="inlineStr">
        <is>
          <t xml:space="preserve">S1:99</t>
        </is>
      </c>
    </row>
    <row r="11" ht="55" customHeight="1">
      <c r="A11" s="0" t="inlineStr">
        <is>
          <t xml:space="preserve">Paramount+: fourth video streaming service (with Netflix, Disney+ Bundle and Hulu) [check this; excluded]</t>
        </is>
      </c>
      <c r="B11" s="2">
        <v>8.99</v>
      </c>
      <c r="C11" s="2">
        <v>107.88</v>
      </c>
      <c r="D11" s="0" t="inlineStr">
        <is>
          <t xml:space="preserve">Keep it only if you watched it this month</t>
        </is>
      </c>
      <c r="E11" s="0" t="inlineStr">
        <is>
          <t xml:space="preserve">Paramount+ &gt; Account &gt; Cancel</t>
        </is>
      </c>
      <c r="F11" s="0" t="inlineStr">
        <is>
          <t xml:space="preserve">S1:71</t>
        </is>
      </c>
    </row>
    <row r="12" ht="55" customHeight="1">
      <c r="A12" s="0" t="inlineStr">
        <is>
          <t xml:space="preserve">Apple charge $2.99, service not named on the statement [check this; excluded]</t>
        </is>
      </c>
      <c r="B12" s="2">
        <v>2.99</v>
      </c>
      <c r="C12" s="2">
        <v>35.88</v>
      </c>
      <c r="D12" s="0" t="inlineStr">
        <is>
          <t xml:space="preserve">See which subscription it is</t>
        </is>
      </c>
      <c r="E12" s="0" t="inlineStr">
        <is>
          <t xml:space="preserve">iPhone Settings &gt; your name &gt; Subscriptions (or iCloud &gt; Manage Plan if it's iCloud+)</t>
        </is>
      </c>
      <c r="F12" s="0" t="inlineStr">
        <is>
          <t xml:space="preserve">S1:28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S1:2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S1:3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S1:4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S1:5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S1:6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S1:7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S1:8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S1:9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S1:10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S1:11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S1:12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S1:13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S1:14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S1:15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S1:16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S1:17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S1:18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S1:19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S1:20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S1:21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S1:22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S1:23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S1:24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S1:25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S1:26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S1:27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S1:28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S1:29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S1:30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S1:31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S1:32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S1:33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S1:34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S1:35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S1:36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S1:37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Health &amp; Fitness</t>
        </is>
      </c>
      <c r="E38" s="0" t="inlineStr">
        <is>
          <t xml:space="preserve">subscription</t>
        </is>
      </c>
      <c r="F38" s="0" t="inlineStr">
        <is>
          <t xml:space="preserve">S1:38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S1:39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S1:40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S1:41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S1:42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S1:43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S1:44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S1:45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S1:46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S1:47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S1:48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S1:49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S1:50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S1:51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S1:52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S1:53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S1:54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S1:55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S1:56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S1:57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S1:58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S1:59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S1:60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S1:61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S1:62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S1:63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S1:64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S1:65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S1:66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S1:67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S1:68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S1:69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S1:70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S1:71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S1:72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S1:73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S1:74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S1:75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S1:76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S1:77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S1:78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S1:79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S1:80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S1:81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S1:82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S1:83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S1:84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S1:85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S1:86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S1:87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S1:88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S1:89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S1:90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S1:91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S1:92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S1:93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S1:94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S1:95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S1:96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S1:97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S1:98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S1:99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