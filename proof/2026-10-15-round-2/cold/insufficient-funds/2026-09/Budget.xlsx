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0"/>
  <bookViews>
    <workbookView activeTab="0"/>
  </bookViews>
  <sheets>
    <sheet name="Summary" sheetId="1" r:id="rId1"/>
    <sheet name="Subscriptions" sheetId="2" r:id="rId2"/>
    <sheet name="Budget" sheetId="3" r:id="rId3"/>
    <sheet name="Leaks" sheetId="4" r:id="rId4"/>
    <sheet name="Every charge" sheetId="5" r:id="rId5"/>
  </sheets>
  <definedNames>
    <definedName name="_xlnm.Print_Titles" localSheetId="0">'Summary'!$1:$1</definedName>
    <definedName name="_xlnm.Print_Titles" localSheetId="1">'Subscriptions'!$1:$1</definedName>
    <definedName name="_xlnm.Print_Titles" localSheetId="2">'Budget'!$1:$1</definedName>
    <definedName name="_xlnm.Print_Titles" localSheetId="3">'Leaks'!$1:$1</definedName>
    <definedName name="_xlnm.Print_Titles" localSheetId="4">'Every charge'!$1:$1</definedName>
  </definedNames>
  <calcPr calcId="191029" fullCalcOnLoad="1"/>
</workbook>
</file>

<file path=xl/styles.xml><?xml version="1.0" encoding="utf-8"?>
<styleSheet xmlns="http://schemas.openxmlformats.org/spreadsheetml/2006/main">
  <numFmts count="2">
    <numFmt numFmtId="164" formatCode="&quot;$&quot;#,##0.00;[Red](&quot;$&quot;#,##0.00)"/>
    <numFmt numFmtId="165" formatCode="mmm d, yyyy"/>
  </numFmts>
  <fonts count="6">
    <font>
      <sz val="11"/>
      <color rgb="FF243247"/>
      <name val="Calibri"/>
    </font>
    <font>
      <b/>
      <sz val="11"/>
      <color rgb="FFFFFFFF"/>
      <name val="Calibri"/>
    </font>
    <font>
      <b/>
      <sz val="11"/>
      <color rgb="FF243247"/>
      <name val="Calibri"/>
    </font>
    <font>
      <b/>
      <sz val="20"/>
      <color rgb="FF243247"/>
      <name val="Calibri"/>
    </font>
    <font>
      <sz val="10"/>
      <color rgb="FF566579"/>
      <name val="Calibri"/>
    </font>
    <font>
      <b/>
      <sz val="11"/>
      <color rgb="FF8A3B12"/>
      <name val="Calibri"/>
    </font>
  </fonts>
  <fills count="4">
    <fill>
      <patternFill patternType="none"/>
    </fill>
    <fill>
      <patternFill patternType="gray125"/>
    </fill>
    <fill>
      <patternFill patternType="solid">
        <fgColor rgb="FF243247"/>
        <bgColor indexed="64"/>
      </patternFill>
    </fill>
    <fill>
      <patternFill patternType="solid">
        <fgColor rgb="FFE5F0EC"/>
        <bgColor indexed="64"/>
      </patternFill>
    </fill>
  </fills>
  <borders count="1">
    <border>
      <left/>
      <right/>
      <top/>
      <bottom/>
      <diagonal/>
    </border>
  </borders>
  <cellStyleXfs count="1">
    <xf numFmtId="0" fontId="0" fillId="0" borderId="0"/>
  </cellStyleXfs>
  <cellXfs count="9">
    <xf numFmtId="0" fontId="0" fillId="0" borderId="0" xfId="0" applyNumberFormat="1" applyFont="1" applyFill="1" applyAlignment="1">
      <alignment vertical="center" wrapText="1"/>
    </xf>
    <xf numFmtId="0" fontId="1" fillId="2" borderId="0" xfId="0" applyNumberFormat="1" applyFont="1" applyFill="1" applyAlignment="1">
      <alignment vertical="center" wrapText="1"/>
    </xf>
    <xf numFmtId="164" fontId="0" fillId="0" borderId="0" xfId="0" applyNumberFormat="1" applyFont="1" applyFill="1" applyAlignment="1">
      <alignment vertical="center" wrapText="1"/>
    </xf>
    <xf numFmtId="165" fontId="0" fillId="0" borderId="0" xfId="0" applyNumberFormat="1" applyFont="1" applyFill="1" applyAlignment="1">
      <alignment vertical="center" wrapText="1"/>
    </xf>
    <xf numFmtId="0" fontId="2" fillId="3" borderId="0" xfId="0" applyNumberFormat="1" applyFont="1" applyFill="1" applyAlignment="1">
      <alignment vertical="center" wrapText="1"/>
    </xf>
    <xf numFmtId="164" fontId="2" fillId="3" borderId="0" xfId="0" applyNumberFormat="1" applyFont="1" applyFill="1" applyAlignment="1">
      <alignment vertical="center" wrapText="1"/>
    </xf>
    <xf numFmtId="0" fontId="3" fillId="0" borderId="0" xfId="0" applyNumberFormat="1" applyFont="1" applyFill="1" applyAlignment="1">
      <alignment vertical="center" wrapText="1"/>
    </xf>
    <xf numFmtId="0" fontId="4" fillId="0" borderId="0" xfId="0" applyNumberFormat="1" applyFont="1" applyFill="1" applyAlignment="1">
      <alignment vertical="center" wrapText="1"/>
    </xf>
    <xf numFmtId="0" fontId="5" fillId="0"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Pr>
    <pageSetUpPr fitToPage="1"/>
  </sheetPr>
  <dimension ref="A1:B17"/>
  <sheetViews>
    <sheetView workbookViewId="0"/>
  </sheetViews>
  <sheetFormatPr defaultRowHeight="27"/>
  <cols>
    <col min="1" max="1" width="38" customWidth="1"/>
    <col min="2" max="2" width="84" customWidth="1"/>
  </cols>
  <sheetData>
    <row r="1" ht="63" customHeight="1">
      <c r="A1" s="8" t="inlineStr">
        <is>
          <t xml:space="preserve">Unverified. Your file has no balances to check against, so these totals come from the file itself. Paste the summary box from your statement (previous balance, payments, purchases, fees, interest, new balance) and I'll check every line against it.</t>
        </is>
      </c>
    </row>
    <row r="2" ht="40" customHeight="1">
      <c r="A2" s="6" t="inlineStr">
        <is>
          <t xml:space="preserve">You spent $1,772.07 on this card.</t>
        </is>
      </c>
    </row>
    <row r="3" ht="65" customHeight="1">
      <c r="A3" s="6" t="inlineStr">
        <is>
          <t xml:space="preserve">You pay for 11 subscriptions: $348.90 a month ($4,186.80 a year).</t>
        </is>
      </c>
    </row>
    <row r="4" ht="65" customHeight="1">
      <c r="A4" s="6" t="inlineStr">
        <is>
          <t xml:space="preserve">$277.92 a month is leaking ($3,335.04 a year). Top leaks: Delivery (12 orders), Starbucks (14 visits), and Late fee.</t>
        </is>
      </c>
    </row>
    <row r="5" ht="40" customHeight="1">
      <c r="A5" s="6" t="inlineStr">
        <is>
          <t xml:space="preserve">This plan spends $277.92 less a month.</t>
        </is>
      </c>
    </row>
    <row r="6" ht="27" customHeight="1">
      <c r="A6" s="0" t="inlineStr">
        <is>
          <t xml:space="preserve">Money in</t>
        </is>
      </c>
      <c r="B6" s="0" t="inlineStr">
        <is>
          <t xml:space="preserve">Not provided</t>
        </is>
      </c>
    </row>
    <row r="7" ht="27" customHeight="1">
      <c r="A7" s="0" t="inlineStr">
        <is>
          <t xml:space="preserve">Money out</t>
        </is>
      </c>
      <c r="B7" s="2">
        <v>1772.07</v>
      </c>
    </row>
    <row r="8" ht="27" customHeight="1">
      <c r="A8" s="0" t="inlineStr">
        <is>
          <t xml:space="preserve">Difference</t>
        </is>
      </c>
      <c r="B8" s="0" t="inlineStr">
        <is>
          <t xml:space="preserve">Not available without income</t>
        </is>
      </c>
    </row>
    <row r="9" ht="27" customHeight="1">
      <c r="A9" s="0" t="inlineStr">
        <is>
          <t xml:space="preserve">Subscriptions per month</t>
        </is>
      </c>
      <c r="B9" s="2">
        <v>348.90</v>
      </c>
    </row>
    <row r="10" ht="27" customHeight="1">
      <c r="A10" s="0" t="inlineStr">
        <is>
          <t xml:space="preserve">Subscriptions per year</t>
        </is>
      </c>
      <c r="B10" s="2">
        <v>4186.80</v>
      </c>
    </row>
    <row r="11" ht="27" customHeight="1">
      <c r="A11" s="0" t="inlineStr">
        <is>
          <t xml:space="preserve">Leaks per month</t>
        </is>
      </c>
      <c r="B11" s="2">
        <v>277.92</v>
      </c>
    </row>
    <row r="12" ht="27" customHeight="1">
      <c r="A12" s="0" t="inlineStr">
        <is>
          <t xml:space="preserve">Leaks per year</t>
        </is>
      </c>
      <c r="B12" s="2">
        <v>3335.04</v>
      </c>
    </row>
    <row r="13" ht="27" customHeight="1">
      <c r="A13" s="0" t="inlineStr">
        <is>
          <t xml:space="preserve">What the plan frees</t>
        </is>
      </c>
      <c r="B13" s="2">
        <v>277.92</v>
      </c>
    </row>
    <row r="14" ht="27" customHeight="1">
      <c r="A14" s="0" t="inlineStr">
        <is>
          <t xml:space="preserve">Statement check</t>
        </is>
      </c>
      <c r="B14" s="0" t="inlineStr">
        <is>
          <t xml:space="preserve">Unverified</t>
        </is>
      </c>
    </row>
    <row r="15" ht="31" customHeight="1">
      <c r="A15" s="7" t="inlineStr">
        <is>
          <t xml:space="preserve">Transfers are excluded. Refunds reduce spending. Card payments are not income.</t>
        </is>
      </c>
    </row>
    <row r="16" ht="31" customHeight="1">
      <c r="A16" s="7" t="inlineStr">
        <is>
          <t xml:space="preserve">Confirm billing intervals and cancels. Yearly amounts are estimates; checks are excluded.</t>
        </is>
      </c>
    </row>
    <row r="17" ht="31" customHeight="1">
      <c r="A17" s="7" t="inlineStr">
        <is>
          <t xml:space="preserve">This is a second look at your own numbers, not financial advice.</t>
        </is>
      </c>
    </row>
  </sheetData>
  <mergeCells count="8">
    <mergeCell ref="A2:B2"/>
    <mergeCell ref="A3:B3"/>
    <mergeCell ref="A4:B4"/>
    <mergeCell ref="A5:B5"/>
    <mergeCell ref="A15:B15"/>
    <mergeCell ref="A16:B16"/>
    <mergeCell ref="A17:B17"/>
    <mergeCell ref="A1:B1"/>
  </mergeCells>
  <pageMargins left="0.3" right="0.3" top="0.4" bottom="0.4" header="0.2" footer="0.2"/>
  <pageSetup paperSize="1" orientation="landscape" fitToWidth="1" fitToHeight="0"/>
  <headerFooter>
    <oddFooter>&amp;CPage &amp;P of &amp;N</oddFooter>
  </headerFooter>
</worksheet>
</file>

<file path=xl/worksheets/sheet2.xml><?xml version="1.0" encoding="utf-8"?>
<worksheet xmlns="http://schemas.openxmlformats.org/spreadsheetml/2006/main">
  <sheetPr>
    <pageSetUpPr fitToPage="1"/>
  </sheetPr>
  <dimension ref="A1:F13"/>
  <sheetViews>
    <sheetView workbookViewId="0">
      <pane ySplit="1" topLeftCell="A2" activePane="bottomLeft" state="frozen"/>
      <selection pane="bottomLeft" activeCell="A2" sqref="A2"/>
    </sheetView>
  </sheetViews>
  <sheetFormatPr defaultRowHeight="27"/>
  <cols>
    <col min="1" max="1" width="32" customWidth="1"/>
    <col min="2" max="2" width="21" customWidth="1"/>
    <col min="3" max="3" width="31" customWidth="1"/>
    <col min="4" max="4" width="17" customWidth="1"/>
    <col min="5" max="5" width="18" customWidth="1"/>
    <col min="6" max="6" width="70" customWidth="1"/>
  </cols>
  <sheetData>
    <row r="1" ht="27" customHeight="1">
      <c r="A1" s="1" t="inlineStr">
        <is>
          <t xml:space="preserve">Subscription</t>
        </is>
      </c>
      <c r="B1" s="1" t="inlineStr">
        <is>
          <t xml:space="preserve">Paid this month</t>
        </is>
      </c>
      <c r="C1" s="1" t="inlineStr">
        <is>
          <t xml:space="preserve">How often</t>
        </is>
      </c>
      <c r="D1" s="1" t="inlineStr">
        <is>
          <t xml:space="preserve">Monthly</t>
        </is>
      </c>
      <c r="E1" s="1" t="inlineStr">
        <is>
          <t xml:space="preserve">Yearly</t>
        </is>
      </c>
      <c r="F1" s="1" t="inlineStr">
        <is>
          <t xml:space="preserve">Where to cancel</t>
        </is>
      </c>
    </row>
    <row r="2" ht="40" customHeight="1">
      <c r="A2" s="0" t="inlineStr">
        <is>
          <t xml:space="preserve">Amazon Prime</t>
        </is>
      </c>
      <c r="B2" s="2">
        <v>14.99</v>
      </c>
      <c r="C2" s="0" t="inlineStr">
        <is>
          <t xml:space="preserve">Monthly estimate, check billing</t>
        </is>
      </c>
      <c r="D2" s="2">
        <v>14.99</v>
      </c>
      <c r="E2" s="2">
        <v>179.88</v>
      </c>
      <c r="F2" s="0" t="inlineStr">
        <is>
          <t xml:space="preserve">Amazon &gt; Memberships &amp; Subscriptions &gt; Prime &gt; End membership</t>
        </is>
      </c>
    </row>
    <row r="3" ht="40" customHeight="1">
      <c r="A3" s="0" t="inlineStr">
        <is>
          <t xml:space="preserve">Apple subscription (unknown app)</t>
        </is>
      </c>
      <c r="B3" s="2">
        <v>10.99</v>
      </c>
      <c r="C3" s="0" t="inlineStr">
        <is>
          <t xml:space="preserve">Monthly estimate, check billing</t>
        </is>
      </c>
      <c r="D3" s="2">
        <v>10.99</v>
      </c>
      <c r="E3" s="2">
        <v>131.88</v>
      </c>
      <c r="F3" s="0" t="inlineStr">
        <is>
          <t xml:space="preserve">iPhone Settings &gt; your name &gt; Subscriptions (shows which app Apple billed)</t>
        </is>
      </c>
    </row>
    <row r="4" ht="40" customHeight="1">
      <c r="A4" s="0" t="inlineStr">
        <is>
          <t xml:space="preserve">Crunch Fitness</t>
        </is>
      </c>
      <c r="B4" s="2">
        <v>29.99</v>
      </c>
      <c r="C4" s="0" t="inlineStr">
        <is>
          <t xml:space="preserve">Monthly estimate, check billing</t>
        </is>
      </c>
      <c r="D4" s="2">
        <v>29.99</v>
      </c>
      <c r="E4" s="2">
        <v>359.88</v>
      </c>
      <c r="F4" s="0" t="inlineStr">
        <is>
          <t xml:space="preserve">Crunch app or your home club (many clubs require in-person or written notice)</t>
        </is>
      </c>
    </row>
    <row r="5" ht="40" customHeight="1">
      <c r="A5" s="0" t="inlineStr">
        <is>
          <t xml:space="preserve">DoorDash DashPass</t>
        </is>
      </c>
      <c r="B5" s="2">
        <v>9.99</v>
      </c>
      <c r="C5" s="0" t="inlineStr">
        <is>
          <t xml:space="preserve">Monthly estimate, check billing</t>
        </is>
      </c>
      <c r="D5" s="2">
        <v>9.99</v>
      </c>
      <c r="E5" s="2">
        <v>119.88</v>
      </c>
      <c r="F5" s="0" t="inlineStr">
        <is>
          <t xml:space="preserve">DoorDash app &gt; Account &gt; DashPass &gt; End subscription</t>
        </is>
      </c>
    </row>
    <row r="6" ht="40" customHeight="1">
      <c r="A6" s="0" t="inlineStr">
        <is>
          <t xml:space="preserve">Google One storage</t>
        </is>
      </c>
      <c r="B6" s="2">
        <v>2.99</v>
      </c>
      <c r="C6" s="0" t="inlineStr">
        <is>
          <t xml:space="preserve">Monthly estimate, check billing</t>
        </is>
      </c>
      <c r="D6" s="2">
        <v>2.99</v>
      </c>
      <c r="E6" s="2">
        <v>35.88</v>
      </c>
      <c r="F6" s="0" t="inlineStr">
        <is>
          <t xml:space="preserve">Google Play &gt; Payments &amp; subscriptions, or one.google.com &gt; Settings</t>
        </is>
      </c>
    </row>
    <row r="7" ht="40" customHeight="1">
      <c r="A7" s="0" t="inlineStr">
        <is>
          <t xml:space="preserve">Max</t>
        </is>
      </c>
      <c r="B7" s="2">
        <v>16.99</v>
      </c>
      <c r="C7" s="0" t="inlineStr">
        <is>
          <t xml:space="preserve">Monthly estimate, check billing</t>
        </is>
      </c>
      <c r="D7" s="2">
        <v>16.99</v>
      </c>
      <c r="E7" s="2">
        <v>203.88</v>
      </c>
      <c r="F7" s="0" t="inlineStr">
        <is>
          <t xml:space="preserve">max.com &gt; Settings &gt; Subscription &gt; Cancel</t>
        </is>
      </c>
    </row>
    <row r="8" ht="40" customHeight="1">
      <c r="A8" s="0" t="inlineStr">
        <is>
          <t xml:space="preserve">Netflix</t>
        </is>
      </c>
      <c r="B8" s="2">
        <v>17.99</v>
      </c>
      <c r="C8" s="0" t="inlineStr">
        <is>
          <t xml:space="preserve">Monthly estimate, check billing</t>
        </is>
      </c>
      <c r="D8" s="2">
        <v>17.99</v>
      </c>
      <c r="E8" s="2">
        <v>215.88</v>
      </c>
      <c r="F8" s="0" t="inlineStr">
        <is>
          <t xml:space="preserve">netflix.com &gt; Account &gt; Cancel Membership</t>
        </is>
      </c>
    </row>
    <row r="9" ht="40" customHeight="1">
      <c r="A9" s="0" t="inlineStr">
        <is>
          <t xml:space="preserve">Noom</t>
        </is>
      </c>
      <c r="B9" s="2">
        <v>209.00</v>
      </c>
      <c r="C9" s="0" t="inlineStr">
        <is>
          <t xml:space="preserve">Monthly estimate, check billing</t>
        </is>
      </c>
      <c r="D9" s="2">
        <v>209.00</v>
      </c>
      <c r="E9" s="2">
        <v>2508.00</v>
      </c>
      <c r="F9" s="0" t="inlineStr">
        <is>
          <t xml:space="preserve">Noom app &gt; Settings &gt; Subscription, or the store that billed it</t>
        </is>
      </c>
    </row>
    <row r="10" ht="40" customHeight="1">
      <c r="A10" s="0" t="inlineStr">
        <is>
          <t xml:space="preserve">Paramount+</t>
        </is>
      </c>
      <c r="B10" s="2">
        <v>12.99</v>
      </c>
      <c r="C10" s="0" t="inlineStr">
        <is>
          <t xml:space="preserve">Monthly estimate, check billing</t>
        </is>
      </c>
      <c r="D10" s="2">
        <v>12.99</v>
      </c>
      <c r="E10" s="2">
        <v>155.88</v>
      </c>
      <c r="F10" s="0" t="inlineStr">
        <is>
          <t xml:space="preserve">paramountplus.com &gt; Account &gt; Cancel Subscription</t>
        </is>
      </c>
    </row>
    <row r="11" ht="40" customHeight="1">
      <c r="A11" s="0" t="inlineStr">
        <is>
          <t xml:space="preserve">Peacock Premium</t>
        </is>
      </c>
      <c r="B11" s="2">
        <v>10.99</v>
      </c>
      <c r="C11" s="0" t="inlineStr">
        <is>
          <t xml:space="preserve">Monthly estimate, check billing</t>
        </is>
      </c>
      <c r="D11" s="2">
        <v>10.99</v>
      </c>
      <c r="E11" s="2">
        <v>131.88</v>
      </c>
      <c r="F11" s="0" t="inlineStr">
        <is>
          <t xml:space="preserve">peacocktv.com &gt; Account &gt; Plans &amp; Payment &gt; Cancel</t>
        </is>
      </c>
    </row>
    <row r="12" ht="40" customHeight="1">
      <c r="A12" s="0" t="inlineStr">
        <is>
          <t xml:space="preserve">Spotify</t>
        </is>
      </c>
      <c r="B12" s="2">
        <v>11.99</v>
      </c>
      <c r="C12" s="0" t="inlineStr">
        <is>
          <t xml:space="preserve">Monthly estimate, check billing</t>
        </is>
      </c>
      <c r="D12" s="2">
        <v>11.99</v>
      </c>
      <c r="E12" s="2">
        <v>143.88</v>
      </c>
      <c r="F12" s="0" t="inlineStr">
        <is>
          <t xml:space="preserve">spotify.com &gt; Account &gt; Manage plan &gt; Cancel</t>
        </is>
      </c>
    </row>
    <row r="13" ht="27" customHeight="1">
      <c r="A13" s="4" t="inlineStr">
        <is>
          <t xml:space="preserve">Total: 11</t>
        </is>
      </c>
      <c r="B13" s="4" t="inlineStr">
        <is>
          <t xml:space="preserve"/>
        </is>
      </c>
      <c r="C13" s="4" t="inlineStr">
        <is>
          <t xml:space="preserve"/>
        </is>
      </c>
      <c r="D13" s="5">
        <f>SUM(D2:D12)</f>
        <v>348.90</v>
      </c>
      <c r="E13" s="5">
        <f>SUM(E2:E12)</f>
        <v>4186.80</v>
      </c>
      <c r="F13" s="4" t="inlineStr">
        <is>
          <t xml:space="preserve"/>
        </is>
      </c>
    </row>
  </sheetData>
  <pageMargins left="0.3" right="0.3" top="0.4" bottom="0.4" header="0.2" footer="0.2"/>
  <pageSetup paperSize="1" orientation="landscape" fitToWidth="1" fitToHeight="0"/>
  <headerFooter>
    <oddFooter>&amp;CPage &amp;P of &amp;N</oddFooter>
  </headerFooter>
</worksheet>
</file>

<file path=xl/worksheets/sheet3.xml><?xml version="1.0" encoding="utf-8"?>
<worksheet xmlns="http://schemas.openxmlformats.org/spreadsheetml/2006/main">
  <sheetPr>
    <pageSetUpPr fitToPage="1"/>
  </sheetPr>
  <dimension ref="A1:E30"/>
  <sheetViews>
    <sheetView workbookViewId="0">
      <pane ySplit="1" topLeftCell="A2" activePane="bottomLeft" state="frozen"/>
      <selection pane="bottomLeft" activeCell="A2" sqref="A2"/>
    </sheetView>
  </sheetViews>
  <sheetFormatPr defaultRowHeight="27"/>
  <cols>
    <col min="1" max="1" width="25" customWidth="1"/>
    <col min="2" max="2" width="18" customWidth="1"/>
    <col min="3" max="3" width="22" customWidth="1"/>
    <col min="4" max="4" width="18" customWidth="1"/>
    <col min="5" max="5" width="70" customWidth="1"/>
  </cols>
  <sheetData>
    <row r="1" ht="27" customHeight="1">
      <c r="A1" s="1" t="inlineStr">
        <is>
          <t xml:space="preserve">Category</t>
        </is>
      </c>
      <c r="B1" s="1" t="inlineStr">
        <is>
          <t xml:space="preserve">Last month</t>
        </is>
      </c>
      <c r="C1" s="1" t="inlineStr">
        <is>
          <t xml:space="preserve">Next month's target</t>
        </is>
      </c>
      <c r="D1" s="1" t="inlineStr">
        <is>
          <t xml:space="preserve">Change</t>
        </is>
      </c>
      <c r="E1" s="1" t="inlineStr">
        <is>
          <t xml:space="preserve">Why</t>
        </is>
      </c>
    </row>
    <row r="2" ht="27" customHeight="1">
      <c r="A2" s="0" t="inlineStr">
        <is>
          <t xml:space="preserve">Housing</t>
        </is>
      </c>
      <c r="B2" s="2">
        <v>0.00</v>
      </c>
      <c r="C2" s="2">
        <v>0.00</v>
      </c>
      <c r="D2" s="2">
        <f>C2-B2</f>
        <v>0.00</v>
      </c>
      <c r="E2" s="0" t="inlineStr">
        <is>
          <t xml:space="preserve">Not on this card</t>
        </is>
      </c>
    </row>
    <row r="3" ht="27" customHeight="1">
      <c r="A3" s="0" t="inlineStr">
        <is>
          <t xml:space="preserve">Utilities</t>
        </is>
      </c>
      <c r="B3" s="2">
        <v>0.00</v>
      </c>
      <c r="C3" s="2">
        <v>0.00</v>
      </c>
      <c r="D3" s="2">
        <f>C3-B3</f>
        <v>0.00</v>
      </c>
      <c r="E3" s="0" t="inlineStr">
        <is>
          <t xml:space="preserve">Not on this card</t>
        </is>
      </c>
    </row>
    <row r="4" ht="27" customHeight="1">
      <c r="A4" s="0" t="inlineStr">
        <is>
          <t xml:space="preserve">Phone &amp; Internet</t>
        </is>
      </c>
      <c r="B4" s="2">
        <v>0.00</v>
      </c>
      <c r="C4" s="2">
        <v>0.00</v>
      </c>
      <c r="D4" s="2">
        <f>C4-B4</f>
        <v>0.00</v>
      </c>
      <c r="E4" s="0" t="inlineStr">
        <is>
          <t xml:space="preserve">Not on this card</t>
        </is>
      </c>
    </row>
    <row r="5" ht="27" customHeight="1">
      <c r="A5" s="0" t="inlineStr">
        <is>
          <t xml:space="preserve">Insurance</t>
        </is>
      </c>
      <c r="B5" s="2">
        <v>0.00</v>
      </c>
      <c r="C5" s="2">
        <v>0.00</v>
      </c>
      <c r="D5" s="2">
        <f>C5-B5</f>
        <v>0.00</v>
      </c>
      <c r="E5" s="0" t="inlineStr">
        <is>
          <t xml:space="preserve">Not on this card</t>
        </is>
      </c>
    </row>
    <row r="6" ht="27" customHeight="1">
      <c r="A6" s="0" t="inlineStr">
        <is>
          <t xml:space="preserve">Car Payment</t>
        </is>
      </c>
      <c r="B6" s="2">
        <v>0.00</v>
      </c>
      <c r="C6" s="2">
        <v>0.00</v>
      </c>
      <c r="D6" s="2">
        <f>C6-B6</f>
        <v>0.00</v>
      </c>
      <c r="E6" s="0" t="inlineStr">
        <is>
          <t xml:space="preserve">Not on this card</t>
        </is>
      </c>
    </row>
    <row r="7" ht="27" customHeight="1">
      <c r="A7" s="0" t="inlineStr">
        <is>
          <t xml:space="preserve">Gas &amp; Transit</t>
        </is>
      </c>
      <c r="B7" s="2">
        <v>171.26</v>
      </c>
      <c r="C7" s="2">
        <v>171.26</v>
      </c>
      <c r="D7" s="2">
        <f>C7-B7</f>
        <v>0.00</v>
      </c>
      <c r="E7" s="0" t="inlineStr">
        <is>
          <t xml:space="preserve">Kept at September's fuel spending</t>
        </is>
      </c>
    </row>
    <row r="8" ht="27" customHeight="1">
      <c r="A8" s="0" t="inlineStr">
        <is>
          <t xml:space="preserve">Rideshare</t>
        </is>
      </c>
      <c r="B8" s="2">
        <v>42.35</v>
      </c>
      <c r="C8" s="2">
        <v>42.35</v>
      </c>
      <c r="D8" s="2">
        <f>C8-B8</f>
        <v>0.00</v>
      </c>
      <c r="E8" s="0" t="inlineStr">
        <is>
          <t xml:space="preserve">Kept; two rides last month</t>
        </is>
      </c>
    </row>
    <row r="9" ht="27" customHeight="1">
      <c r="A9" s="0" t="inlineStr">
        <is>
          <t xml:space="preserve">Groceries</t>
        </is>
      </c>
      <c r="B9" s="2">
        <v>352.90</v>
      </c>
      <c r="C9" s="2">
        <v>352.90</v>
      </c>
      <c r="D9" s="2">
        <f>C9-B9</f>
        <v>0.00</v>
      </c>
      <c r="E9" s="0" t="inlineStr">
        <is>
          <t xml:space="preserve">Kept, and cooking more replaces some delivery</t>
        </is>
      </c>
    </row>
    <row r="10" ht="27" customHeight="1">
      <c r="A10" s="0" t="inlineStr">
        <is>
          <t xml:space="preserve">Delivery &amp; Takeout</t>
        </is>
      </c>
      <c r="B10" s="2">
        <v>320.96</v>
      </c>
      <c r="C10" s="2">
        <v>160.48</v>
      </c>
      <c r="D10" s="2">
        <f>C10-B10</f>
        <v>-160.48</v>
      </c>
      <c r="E10" s="0" t="inlineStr">
        <is>
          <t xml:space="preserve">Order half as often</t>
        </is>
      </c>
    </row>
    <row r="11" ht="27" customHeight="1">
      <c r="A11" s="0" t="inlineStr">
        <is>
          <t xml:space="preserve">Restaurants &amp; Coffee</t>
        </is>
      </c>
      <c r="B11" s="2">
        <v>223.85</v>
      </c>
      <c r="C11" s="2">
        <v>180.55</v>
      </c>
      <c r="D11" s="2">
        <f>C11-B11</f>
        <v>-43.30</v>
      </c>
      <c r="E11" s="0" t="inlineStr">
        <is>
          <t xml:space="preserve">Half as many Starbucks runs; sit-down meals kept</t>
        </is>
      </c>
    </row>
    <row r="12" ht="40" customHeight="1">
      <c r="A12" s="0" t="inlineStr">
        <is>
          <t xml:space="preserve">Subscriptions</t>
        </is>
      </c>
      <c r="B12" s="2">
        <v>348.90</v>
      </c>
      <c r="C12" s="2">
        <v>307.93</v>
      </c>
      <c r="D12" s="2">
        <f>C12-B12</f>
        <v>-40.97</v>
      </c>
      <c r="E12" s="0" t="inlineStr">
        <is>
          <t xml:space="preserve">Cancel Max, Paramount+ and Peacock; keep Netflix. Noom stays until checked</t>
        </is>
      </c>
    </row>
    <row r="13" ht="27" customHeight="1">
      <c r="A13" s="0" t="inlineStr">
        <is>
          <t xml:space="preserve">Shopping</t>
        </is>
      </c>
      <c r="B13" s="2">
        <v>141.59</v>
      </c>
      <c r="C13" s="2">
        <v>141.59</v>
      </c>
      <c r="D13" s="2">
        <f>C13-B13</f>
        <v>0.00</v>
      </c>
      <c r="E13" s="0" t="inlineStr">
        <is>
          <t xml:space="preserve">Kept at September's level</t>
        </is>
      </c>
    </row>
    <row r="14" ht="27" customHeight="1">
      <c r="A14" s="0" t="inlineStr">
        <is>
          <t xml:space="preserve">Health &amp; Fitness</t>
        </is>
      </c>
      <c r="B14" s="2">
        <v>17.62</v>
      </c>
      <c r="C14" s="2">
        <v>17.62</v>
      </c>
      <c r="D14" s="2">
        <f>C14-B14</f>
        <v>0.00</v>
      </c>
      <c r="E14" s="0" t="inlineStr">
        <is>
          <t xml:space="preserve">Pharmacy kept</t>
        </is>
      </c>
    </row>
    <row r="15" ht="27" customHeight="1">
      <c r="A15" s="0" t="inlineStr">
        <is>
          <t xml:space="preserve">Personal Care</t>
        </is>
      </c>
      <c r="B15" s="2">
        <v>58.00</v>
      </c>
      <c r="C15" s="2">
        <v>58.00</v>
      </c>
      <c r="D15" s="2">
        <f>C15-B15</f>
        <v>0.00</v>
      </c>
      <c r="E15" s="0" t="inlineStr">
        <is>
          <t xml:space="preserve">Kept</t>
        </is>
      </c>
    </row>
    <row r="16" ht="27" customHeight="1">
      <c r="A16" s="0" t="inlineStr">
        <is>
          <t xml:space="preserve">Entertainment</t>
        </is>
      </c>
      <c r="B16" s="2">
        <v>0.00</v>
      </c>
      <c r="C16" s="2">
        <v>0.00</v>
      </c>
      <c r="D16" s="2">
        <f>C16-B16</f>
        <v>0.00</v>
      </c>
      <c r="E16" s="0" t="inlineStr">
        <is>
          <t xml:space="preserve">No separate fun spending on this card; meals out are kept above</t>
        </is>
      </c>
    </row>
    <row r="17" ht="27" customHeight="1">
      <c r="A17" s="0" t="inlineStr">
        <is>
          <t xml:space="preserve">Travel</t>
        </is>
      </c>
      <c r="B17" s="2">
        <v>0.00</v>
      </c>
      <c r="C17" s="2">
        <v>0.00</v>
      </c>
      <c r="D17" s="2">
        <f>C17-B17</f>
        <v>0.00</v>
      </c>
      <c r="E17" s="0" t="inlineStr">
        <is>
          <t xml:space="preserve">Unused</t>
        </is>
      </c>
    </row>
    <row r="18" ht="27" customHeight="1">
      <c r="A18" s="0" t="inlineStr">
        <is>
          <t xml:space="preserve">Kids &amp; Pets</t>
        </is>
      </c>
      <c r="B18" s="2">
        <v>0.00</v>
      </c>
      <c r="C18" s="2">
        <v>0.00</v>
      </c>
      <c r="D18" s="2">
        <f>C18-B18</f>
        <v>0.00</v>
      </c>
      <c r="E18" s="0" t="inlineStr">
        <is>
          <t xml:space="preserve">Unused</t>
        </is>
      </c>
    </row>
    <row r="19" ht="27" customHeight="1">
      <c r="A19" s="0" t="inlineStr">
        <is>
          <t xml:space="preserve">Gifts &amp; Giving</t>
        </is>
      </c>
      <c r="B19" s="2">
        <v>0.00</v>
      </c>
      <c r="C19" s="2">
        <v>0.00</v>
      </c>
      <c r="D19" s="2">
        <f>C19-B19</f>
        <v>0.00</v>
      </c>
      <c r="E19" s="0" t="inlineStr">
        <is>
          <t xml:space="preserve">Unused</t>
        </is>
      </c>
    </row>
    <row r="20" ht="27" customHeight="1">
      <c r="A20" s="0" t="inlineStr">
        <is>
          <t xml:space="preserve">Debt Payments</t>
        </is>
      </c>
      <c r="B20" s="2">
        <v>0.00</v>
      </c>
      <c r="C20" s="2">
        <v>0.00</v>
      </c>
      <c r="D20" s="2">
        <f>C20-B20</f>
        <v>0.00</v>
      </c>
      <c r="E20" s="0" t="inlineStr">
        <is>
          <t xml:space="preserve">Card payments are transfers</t>
        </is>
      </c>
    </row>
    <row r="21" ht="40" customHeight="1">
      <c r="A21" s="0" t="inlineStr">
        <is>
          <t xml:space="preserve">Bank Fees &amp; Interest</t>
        </is>
      </c>
      <c r="B21" s="2">
        <v>94.64</v>
      </c>
      <c r="C21" s="2">
        <v>61.47</v>
      </c>
      <c r="D21" s="2">
        <f>C21-B21</f>
        <v>-33.17</v>
      </c>
      <c r="E21" s="0" t="inlineStr">
        <is>
          <t xml:space="preserve">Late fee and foreign fee avoidable; interest continues until the balance is paid down</t>
        </is>
      </c>
    </row>
    <row r="22" ht="27" customHeight="1">
      <c r="A22" s="0" t="inlineStr">
        <is>
          <t xml:space="preserve">Cash &amp; ATM</t>
        </is>
      </c>
      <c r="B22" s="2">
        <v>0.00</v>
      </c>
      <c r="C22" s="2">
        <v>0.00</v>
      </c>
      <c r="D22" s="2">
        <f>C22-B22</f>
        <v>0.00</v>
      </c>
      <c r="E22" s="0" t="inlineStr">
        <is>
          <t xml:space="preserve">Unused</t>
        </is>
      </c>
    </row>
    <row r="23" ht="27" customHeight="1">
      <c r="A23" s="0" t="inlineStr">
        <is>
          <t xml:space="preserve">Other</t>
        </is>
      </c>
      <c r="B23" s="2">
        <v>0.00</v>
      </c>
      <c r="C23" s="2">
        <v>0.00</v>
      </c>
      <c r="D23" s="2">
        <f>C23-B23</f>
        <v>0.00</v>
      </c>
      <c r="E23" s="0" t="inlineStr">
        <is>
          <t xml:space="preserve">Unused</t>
        </is>
      </c>
    </row>
    <row r="24" ht="27" customHeight="1">
      <c r="A24" s="4" t="inlineStr">
        <is>
          <t xml:space="preserve">Total spending</t>
        </is>
      </c>
      <c r="B24" s="5">
        <f>SUM(B2:B23)</f>
        <v>1772.07</v>
      </c>
      <c r="C24" s="5">
        <f>SUM(C2:C23)</f>
        <v>1494.15</v>
      </c>
      <c r="D24" s="5">
        <f>SUM(D2:D23)</f>
        <v>-277.92</v>
      </c>
      <c r="E24" s="4" t="inlineStr">
        <is>
          <t xml:space="preserve">Within last month’s spending.</t>
        </is>
      </c>
    </row>
    <row r="25" ht="27" customHeight="1">
      <c r="A25" s="0" t="inlineStr">
        <is>
          <t xml:space="preserve">Transfers (excluded)</t>
        </is>
      </c>
      <c r="B25" s="2">
        <v>-150.00</v>
      </c>
      <c r="C25" s="2">
        <v>0.00</v>
      </c>
      <c r="D25" s="0" t="inlineStr">
        <is>
          <t xml:space="preserve"/>
        </is>
      </c>
      <c r="E25" s="0" t="inlineStr">
        <is>
          <t xml:space="preserve">Excluded from the totals above</t>
        </is>
      </c>
    </row>
    <row r="26" ht="27" customHeight="1">
      <c r="A26" s="0" t="inlineStr">
        <is>
          <t xml:space="preserve">How to change this</t>
        </is>
      </c>
      <c r="B26" s="0" t="inlineStr">
        <is>
          <t xml:space="preserve"/>
        </is>
      </c>
      <c r="C26" s="0" t="inlineStr">
        <is>
          <t xml:space="preserve"/>
        </is>
      </c>
      <c r="D26" s="0" t="inlineStr">
        <is>
          <t xml:space="preserve"/>
        </is>
      </c>
      <c r="E26" s="0" t="inlineStr">
        <is>
          <t xml:space="preserve">Tell Claude what to keep, then rebuild.</t>
        </is>
      </c>
    </row>
    <row r="27" ht="40" customHeight="1">
      <c r="A27" s="0" t="inlineStr">
        <is>
          <t xml:space="preserve">Assumption</t>
        </is>
      </c>
      <c r="B27" s="0" t="inlineStr">
        <is>
          <t xml:space="preserve"/>
        </is>
      </c>
      <c r="C27" s="0" t="inlineStr">
        <is>
          <t xml:space="preserve"/>
        </is>
      </c>
      <c r="D27" s="0" t="inlineStr">
        <is>
          <t xml:space="preserve"/>
        </is>
      </c>
      <c r="E27" s="0" t="inlineStr">
        <is>
          <t xml:space="preserve">Keep Netflix, Spotify, Amazon Prime, Crunch Fitness, Google One, DashPass and the Apple subscription; check which app Apple billed.</t>
        </is>
      </c>
    </row>
    <row r="28" ht="40" customHeight="1">
      <c r="A28" s="0" t="inlineStr">
        <is>
          <t xml:space="preserve">Assumption</t>
        </is>
      </c>
      <c r="B28" s="0" t="inlineStr">
        <is>
          <t xml:space="preserve"/>
        </is>
      </c>
      <c r="C28" s="0" t="inlineStr">
        <is>
          <t xml:space="preserve"/>
        </is>
      </c>
      <c r="D28" s="0" t="inlineStr">
        <is>
          <t xml:space="preserve"/>
        </is>
      </c>
      <c r="E28" s="0" t="inlineStr">
        <is>
          <t xml:space="preserve">Cancel Max, Paramount+ and Peacock. Say 'keep Max' (or any of them) and I'll rebuild.</t>
        </is>
      </c>
    </row>
    <row r="29" ht="40" customHeight="1">
      <c r="A29" s="0" t="inlineStr">
        <is>
          <t xml:space="preserve">Assumption</t>
        </is>
      </c>
      <c r="B29" s="0" t="inlineStr">
        <is>
          <t xml:space="preserve"/>
        </is>
      </c>
      <c r="C29" s="0" t="inlineStr">
        <is>
          <t xml:space="preserve"/>
        </is>
      </c>
      <c r="D29" s="0" t="inlineStr">
        <is>
          <t xml:space="preserve"/>
        </is>
      </c>
      <c r="E29" s="0" t="inlineStr">
        <is>
          <t xml:space="preserve">Noom's billing interval is unknown from one charge; its yearly figure assumes monthly and may be an overstatement.</t>
        </is>
      </c>
    </row>
    <row r="30" ht="27" customHeight="1">
      <c r="A30" s="0" t="inlineStr">
        <is>
          <t xml:space="preserve">Assumption</t>
        </is>
      </c>
      <c r="B30" s="0" t="inlineStr">
        <is>
          <t xml:space="preserve"/>
        </is>
      </c>
      <c r="C30" s="0" t="inlineStr">
        <is>
          <t xml:space="preserve"/>
        </is>
      </c>
      <c r="D30" s="0" t="inlineStr">
        <is>
          <t xml:space="preserve"/>
        </is>
      </c>
      <c r="E30" s="0" t="inlineStr">
        <is>
          <t xml:space="preserve">Card-only view: rent, utilities and other accounts aren't visible.</t>
        </is>
      </c>
    </row>
  </sheetData>
  <pageMargins left="0.3" right="0.3" top="0.4" bottom="0.4" header="0.2" footer="0.2"/>
  <pageSetup paperSize="1" orientation="landscape" fitToWidth="1" fitToHeight="0"/>
  <headerFooter>
    <oddFooter>&amp;CPage &amp;P of &amp;N</oddFooter>
  </headerFooter>
</worksheet>
</file>

<file path=xl/worksheets/sheet4.xml><?xml version="1.0" encoding="utf-8"?>
<worksheet xmlns="http://schemas.openxmlformats.org/spreadsheetml/2006/main">
  <sheetPr>
    <pageSetUpPr fitToPage="1"/>
  </sheetPr>
  <dimension ref="A1:F10"/>
  <sheetViews>
    <sheetView workbookViewId="0">
      <pane ySplit="1" topLeftCell="A2" activePane="bottomLeft" state="frozen"/>
      <selection pane="bottomLeft" activeCell="A2" sqref="A2"/>
    </sheetView>
  </sheetViews>
  <sheetFormatPr defaultRowHeight="27"/>
  <cols>
    <col min="1" max="1" width="36" customWidth="1"/>
    <col min="2" max="2" width="23" customWidth="1"/>
    <col min="3" max="3" width="17" customWidth="1"/>
    <col min="4" max="4" width="52" customWidth="1"/>
    <col min="5" max="5" width="48" customWidth="1"/>
    <col min="6" max="6" width="48" customWidth="1"/>
  </cols>
  <sheetData>
    <row r="1" ht="27" customHeight="1">
      <c r="A1" s="1" t="inlineStr">
        <is>
          <t xml:space="preserve">What</t>
        </is>
      </c>
      <c r="B1" s="1" t="inlineStr">
        <is>
          <t xml:space="preserve">Monthly or one-off</t>
        </is>
      </c>
      <c r="C1" s="1" t="inlineStr">
        <is>
          <t xml:space="preserve">Yearly</t>
        </is>
      </c>
      <c r="D1" s="1" t="inlineStr">
        <is>
          <t xml:space="preserve">Action</t>
        </is>
      </c>
      <c r="E1" s="1" t="inlineStr">
        <is>
          <t xml:space="preserve">Where to cancel</t>
        </is>
      </c>
      <c r="F1" s="1" t="inlineStr">
        <is>
          <t xml:space="preserve">Charges</t>
        </is>
      </c>
    </row>
    <row r="2" ht="100" customHeight="1">
      <c r="A2" s="0" t="inlineStr">
        <is>
          <t xml:space="preserve">Delivery, 12 orders</t>
        </is>
      </c>
      <c r="B2" s="2">
        <v>160.48</v>
      </c>
      <c r="C2" s="2">
        <v>1925.76</v>
      </c>
      <c r="D2" s="0" t="inlineStr">
        <is>
          <t xml:space="preserve">Order half as often; keep easy meals at home.</t>
        </is>
      </c>
      <c r="E2" s="0" t="inlineStr">
        <is>
          <t xml:space="preserve"/>
        </is>
      </c>
      <c r="F2" s="0" t="inlineStr">
        <is>
          <t xml:space="preserve">9/3 DoorDash orders, 9/6 DoorDash orders, 9/8 Uber Eats, 9/9 DoorDash orders, 9/12 Grubhub, 9/14 DoorDash orders, 9/17 Uber Eats, 9/20 DoorDash orders, 9/22 DoorDash orders, 9/25 Uber Eats, 9/27 DoorDash orders, 9/29 DoorDash orders</t>
        </is>
      </c>
    </row>
    <row r="3" ht="85" customHeight="1">
      <c r="A3" s="0" t="inlineStr">
        <is>
          <t xml:space="preserve">Starbucks, 14 visits</t>
        </is>
      </c>
      <c r="B3" s="2">
        <v>43.30</v>
      </c>
      <c r="C3" s="2">
        <v>519.60</v>
      </c>
      <c r="D3" s="0" t="inlineStr">
        <is>
          <t xml:space="preserve">Make half as many of these small purchases.</t>
        </is>
      </c>
      <c r="E3" s="0" t="inlineStr">
        <is>
          <t xml:space="preserve"/>
        </is>
      </c>
      <c r="F3" s="0" t="inlineStr">
        <is>
          <t xml:space="preserve">9/3 Starbucks, 9/4 Starbucks, 9/5 Starbucks, 9/10 Starbucks, 9/12 Starbucks, 9/16 Starbucks, 9/17 Starbucks, 9/18 Starbucks, 9/23 Starbucks, 9/24 Starbucks, 9/25 Starbucks, 9/26 Starbucks, 9/30 Starbucks, 9/30 Starbucks</t>
        </is>
      </c>
    </row>
    <row r="4" ht="55" customHeight="1">
      <c r="A4" s="0" t="inlineStr">
        <is>
          <t xml:space="preserve">Late fee</t>
        </is>
      </c>
      <c r="B4" s="2">
        <v>32.00</v>
      </c>
      <c r="C4" s="2">
        <v>384.00</v>
      </c>
      <c r="D4" s="0" t="inlineStr">
        <is>
          <t xml:space="preserve">Turn on autopay for at least the minimum payment so this never repeats; you can also ask the card issuer to waive this one</t>
        </is>
      </c>
      <c r="E4" s="0" t="inlineStr">
        <is>
          <t xml:space="preserve">Card issuer app &gt; Payments &gt; Autopay</t>
        </is>
      </c>
      <c r="F4" s="0" t="inlineStr">
        <is>
          <t xml:space="preserve">9/6 Card late fee</t>
        </is>
      </c>
    </row>
    <row r="5" ht="40" customHeight="1">
      <c r="A5" s="0" t="inlineStr">
        <is>
          <t xml:space="preserve">Max, overlapping streaming</t>
        </is>
      </c>
      <c r="B5" s="2">
        <v>16.99</v>
      </c>
      <c r="C5" s="2">
        <v>203.88</v>
      </c>
      <c r="D5" s="0" t="inlineStr">
        <is>
          <t xml:space="preserve">Four video services at once; cancel Max and rejoin for a month when there's a show you want</t>
        </is>
      </c>
      <c r="E5" s="0" t="inlineStr">
        <is>
          <t xml:space="preserve">max.com &gt; Settings &gt; Subscription &gt; Cancel</t>
        </is>
      </c>
      <c r="F5" s="0" t="inlineStr">
        <is>
          <t xml:space="preserve">9/10 Max</t>
        </is>
      </c>
    </row>
    <row r="6" ht="40" customHeight="1">
      <c r="A6" s="0" t="inlineStr">
        <is>
          <t xml:space="preserve">Paramount+, overlapping streaming</t>
        </is>
      </c>
      <c r="B6" s="2">
        <v>12.99</v>
      </c>
      <c r="C6" s="2">
        <v>155.88</v>
      </c>
      <c r="D6" s="0" t="inlineStr">
        <is>
          <t xml:space="preserve">Cancel; rotate in when needed</t>
        </is>
      </c>
      <c r="E6" s="0" t="inlineStr">
        <is>
          <t xml:space="preserve">paramountplus.com &gt; Account &gt; Cancel Subscription</t>
        </is>
      </c>
      <c r="F6" s="0" t="inlineStr">
        <is>
          <t xml:space="preserve">9/13 Paramount+</t>
        </is>
      </c>
    </row>
    <row r="7" ht="40" customHeight="1">
      <c r="A7" s="0" t="inlineStr">
        <is>
          <t xml:space="preserve">Peacock Premium, overlapping streaming</t>
        </is>
      </c>
      <c r="B7" s="2">
        <v>10.99</v>
      </c>
      <c r="C7" s="2">
        <v>131.88</v>
      </c>
      <c r="D7" s="0" t="inlineStr">
        <is>
          <t xml:space="preserve">Cancel; rotate in when needed</t>
        </is>
      </c>
      <c r="E7" s="0" t="inlineStr">
        <is>
          <t xml:space="preserve">peacocktv.com &gt; Account &gt; Plans &amp; Payment &gt; Cancel</t>
        </is>
      </c>
      <c r="F7" s="0" t="inlineStr">
        <is>
          <t xml:space="preserve">9/7 Peacock Premium</t>
        </is>
      </c>
    </row>
    <row r="8" ht="40" customHeight="1">
      <c r="A8" s="0" t="inlineStr">
        <is>
          <t xml:space="preserve">Foreign transaction fee</t>
        </is>
      </c>
      <c r="B8" s="2">
        <v>1.17</v>
      </c>
      <c r="C8" s="2">
        <v>14.04</v>
      </c>
      <c r="D8" s="0" t="inlineStr">
        <is>
          <t xml:space="preserve">Charged with the AliExpress order; use a card without foreign fees for overseas sites</t>
        </is>
      </c>
      <c r="E8" s="0" t="inlineStr">
        <is>
          <t xml:space="preserve">Card terms / checkout choice</t>
        </is>
      </c>
      <c r="F8" s="0" t="inlineStr">
        <is>
          <t xml:space="preserve">9/13 Foreign transaction fee</t>
        </is>
      </c>
    </row>
    <row r="9" ht="55" customHeight="1">
      <c r="A9" s="0" t="inlineStr">
        <is>
          <t xml:space="preserve">Noom $209, check plan (check this)</t>
        </is>
      </c>
      <c r="B9" s="2">
        <v>209.00</v>
      </c>
      <c r="C9" s="0" t="inlineStr">
        <is>
          <t xml:space="preserve"/>
        </is>
      </c>
      <c r="D9" s="0" t="inlineStr">
        <is>
          <t xml:space="preserve">Largest single charge. Check whether this is a multi-month prepay or a renewal you meant to keep; if not using it, cancel and ask about a refund</t>
        </is>
      </c>
      <c r="E9" s="0" t="inlineStr">
        <is>
          <t xml:space="preserve">Noom app &gt; Settings &gt; Subscription, or the store that billed it</t>
        </is>
      </c>
      <c r="F9" s="0" t="inlineStr">
        <is>
          <t xml:space="preserve">9/19 Noom</t>
        </is>
      </c>
    </row>
    <row r="10" ht="40" customHeight="1">
      <c r="A10" s="0" t="inlineStr">
        <is>
          <t xml:space="preserve">Blue Door Coffee twice, same amount (check this)</t>
        </is>
      </c>
      <c r="B10" s="2">
        <v>6.75</v>
      </c>
      <c r="C10" s="0" t="inlineStr">
        <is>
          <t xml:space="preserve"/>
        </is>
      </c>
      <c r="D10" s="0" t="inlineStr">
        <is>
          <t xml:space="preserve">Two $6.75 charges on Sep 10; if you only bought one, dispute the extra</t>
        </is>
      </c>
      <c r="E10" s="0" t="inlineStr">
        <is>
          <t xml:space="preserve">Card issuer app &gt; transaction &gt; Dispute</t>
        </is>
      </c>
      <c r="F10" s="0" t="inlineStr">
        <is>
          <t xml:space="preserve">9/11 Blue Door Coffee, 9/11 Blue Door Coffee</t>
        </is>
      </c>
    </row>
  </sheetData>
  <pageMargins left="0.3" right="0.3" top="0.4" bottom="0.4" header="0.2" footer="0.2"/>
  <pageSetup paperSize="1" orientation="landscape" fitToWidth="1" fitToHeight="0"/>
  <headerFooter>
    <oddFooter>&amp;CPage &amp;P of &amp;N</oddFooter>
  </headerFooter>
</worksheet>
</file>

<file path=xl/worksheets/sheet5.xml><?xml version="1.0" encoding="utf-8"?>
<worksheet xmlns="http://schemas.openxmlformats.org/spreadsheetml/2006/main">
  <sheetPr>
    <pageSetUpPr fitToPage="1"/>
  </sheetPr>
  <dimension ref="A1:F65"/>
  <sheetViews>
    <sheetView workbookViewId="0">
      <pane ySplit="1" topLeftCell="A2" activePane="bottomLeft" state="frozen"/>
      <selection pane="bottomLeft" activeCell="A2" sqref="A2"/>
    </sheetView>
  </sheetViews>
  <sheetFormatPr defaultRowHeight="27"/>
  <cols>
    <col min="1" max="1" width="18" customWidth="1"/>
    <col min="2" max="2" width="59" customWidth="1"/>
    <col min="3" max="3" width="17" customWidth="1"/>
    <col min="4" max="4" width="26" customWidth="1"/>
    <col min="5" max="5" width="34" customWidth="1"/>
    <col min="6" max="6" width="16" customWidth="1"/>
  </cols>
  <sheetData>
    <row r="1" ht="27" customHeight="1">
      <c r="A1" s="1" t="inlineStr">
        <is>
          <t xml:space="preserve">Date</t>
        </is>
      </c>
      <c r="B1" s="1" t="inlineStr">
        <is>
          <t xml:space="preserve">Description</t>
        </is>
      </c>
      <c r="C1" s="1" t="inlineStr">
        <is>
          <t xml:space="preserve">Amount</t>
        </is>
      </c>
      <c r="D1" s="1" t="inlineStr">
        <is>
          <t xml:space="preserve">Category</t>
        </is>
      </c>
      <c r="E1" s="1" t="inlineStr">
        <is>
          <t xml:space="preserve">Flag</t>
        </is>
      </c>
      <c r="F1" s="1" t="inlineStr">
        <is>
          <t xml:space="preserve">Source line</t>
        </is>
      </c>
    </row>
    <row r="2" ht="27" customHeight="1">
      <c r="A2" s="3">
        <v>46267</v>
      </c>
      <c r="B2" s="0" t="inlineStr">
        <is>
          <t xml:space="preserve">NETFLIX.COM</t>
        </is>
      </c>
      <c r="C2" s="2">
        <v>-17.99</v>
      </c>
      <c r="D2" s="0" t="inlineStr">
        <is>
          <t xml:space="preserve">Subscriptions</t>
        </is>
      </c>
      <c r="E2" s="0" t="inlineStr">
        <is>
          <t xml:space="preserve">subscription</t>
        </is>
      </c>
      <c r="F2" s="0" t="inlineStr">
        <is>
          <t xml:space="preserve">S1:2</t>
        </is>
      </c>
    </row>
    <row r="3" ht="27" customHeight="1">
      <c r="A3" s="3">
        <v>46267</v>
      </c>
      <c r="B3" s="0" t="inlineStr">
        <is>
          <t xml:space="preserve">KROGER #0412</t>
        </is>
      </c>
      <c r="C3" s="2">
        <v>-86.31</v>
      </c>
      <c r="D3" s="0" t="inlineStr">
        <is>
          <t xml:space="preserve">Groceries</t>
        </is>
      </c>
      <c r="E3" s="0" t="inlineStr">
        <is>
          <t xml:space="preserve"/>
        </is>
      </c>
      <c r="F3" s="0" t="inlineStr">
        <is>
          <t xml:space="preserve">S1:3</t>
        </is>
      </c>
    </row>
    <row r="4" ht="27" customHeight="1">
      <c r="A4" s="3">
        <v>46268</v>
      </c>
      <c r="B4" s="0" t="inlineStr">
        <is>
          <t xml:space="preserve">DOORDASH*TACO BELL</t>
        </is>
      </c>
      <c r="C4" s="2">
        <v>-18.42</v>
      </c>
      <c r="D4" s="0" t="inlineStr">
        <is>
          <t xml:space="preserve">Delivery &amp; Takeout</t>
        </is>
      </c>
      <c r="E4" s="0" t="inlineStr">
        <is>
          <t xml:space="preserve">delivery</t>
        </is>
      </c>
      <c r="F4" s="0" t="inlineStr">
        <is>
          <t xml:space="preserve">S1:4</t>
        </is>
      </c>
    </row>
    <row r="5" ht="27" customHeight="1">
      <c r="A5" s="3">
        <v>46268</v>
      </c>
      <c r="B5" s="0" t="inlineStr">
        <is>
          <t xml:space="preserve">STARBUCKS STORE [number removed]</t>
        </is>
      </c>
      <c r="C5" s="2">
        <v>-5.45</v>
      </c>
      <c r="D5" s="0" t="inlineStr">
        <is>
          <t xml:space="preserve">Restaurants &amp; Coffee</t>
        </is>
      </c>
      <c r="E5" s="0" t="inlineStr">
        <is>
          <t xml:space="preserve"/>
        </is>
      </c>
      <c r="F5" s="0" t="inlineStr">
        <is>
          <t xml:space="preserve">S1:5</t>
        </is>
      </c>
    </row>
    <row r="6" ht="27" customHeight="1">
      <c r="A6" s="3">
        <v>46269</v>
      </c>
      <c r="B6" s="0" t="inlineStr">
        <is>
          <t xml:space="preserve">SPOTIFY USA</t>
        </is>
      </c>
      <c r="C6" s="2">
        <v>-11.99</v>
      </c>
      <c r="D6" s="0" t="inlineStr">
        <is>
          <t xml:space="preserve">Subscriptions</t>
        </is>
      </c>
      <c r="E6" s="0" t="inlineStr">
        <is>
          <t xml:space="preserve">subscription</t>
        </is>
      </c>
      <c r="F6" s="0" t="inlineStr">
        <is>
          <t xml:space="preserve">S1:6</t>
        </is>
      </c>
    </row>
    <row r="7" ht="27" customHeight="1">
      <c r="A7" s="3">
        <v>46269</v>
      </c>
      <c r="B7" s="0" t="inlineStr">
        <is>
          <t xml:space="preserve">STARBUCKS STORE [number removed]</t>
        </is>
      </c>
      <c r="C7" s="2">
        <v>-7.15</v>
      </c>
      <c r="D7" s="0" t="inlineStr">
        <is>
          <t xml:space="preserve">Restaurants &amp; Coffee</t>
        </is>
      </c>
      <c r="E7" s="0" t="inlineStr">
        <is>
          <t xml:space="preserve"/>
        </is>
      </c>
      <c r="F7" s="0" t="inlineStr">
        <is>
          <t xml:space="preserve">S1:7</t>
        </is>
      </c>
    </row>
    <row r="8" ht="27" customHeight="1">
      <c r="A8" s="3">
        <v>46270</v>
      </c>
      <c r="B8" s="0" t="inlineStr">
        <is>
          <t xml:space="preserve">APPLE.COM/BILL</t>
        </is>
      </c>
      <c r="C8" s="2">
        <v>-10.99</v>
      </c>
      <c r="D8" s="0" t="inlineStr">
        <is>
          <t xml:space="preserve">Subscriptions</t>
        </is>
      </c>
      <c r="E8" s="0" t="inlineStr">
        <is>
          <t xml:space="preserve">subscription</t>
        </is>
      </c>
      <c r="F8" s="0" t="inlineStr">
        <is>
          <t xml:space="preserve">S1:8</t>
        </is>
      </c>
    </row>
    <row r="9" ht="27" customHeight="1">
      <c r="A9" s="3">
        <v>46270</v>
      </c>
      <c r="B9" s="0" t="inlineStr">
        <is>
          <t xml:space="preserve">STARBUCKS STORE [number removed]</t>
        </is>
      </c>
      <c r="C9" s="2">
        <v>-5.95</v>
      </c>
      <c r="D9" s="0" t="inlineStr">
        <is>
          <t xml:space="preserve">Restaurants &amp; Coffee</t>
        </is>
      </c>
      <c r="E9" s="0" t="inlineStr">
        <is>
          <t xml:space="preserve"/>
        </is>
      </c>
      <c r="F9" s="0" t="inlineStr">
        <is>
          <t xml:space="preserve">S1:9</t>
        </is>
      </c>
    </row>
    <row r="10" ht="27" customHeight="1">
      <c r="A10" s="3">
        <v>46270</v>
      </c>
      <c r="B10" s="0" t="inlineStr">
        <is>
          <t xml:space="preserve">SHELL OIL ****2190</t>
        </is>
      </c>
      <c r="C10" s="2">
        <v>-44.18</v>
      </c>
      <c r="D10" s="0" t="inlineStr">
        <is>
          <t xml:space="preserve">Gas &amp; Transit</t>
        </is>
      </c>
      <c r="E10" s="0" t="inlineStr">
        <is>
          <t xml:space="preserve"/>
        </is>
      </c>
      <c r="F10" s="0" t="inlineStr">
        <is>
          <t xml:space="preserve">S1:10</t>
        </is>
      </c>
    </row>
    <row r="11" ht="27" customHeight="1">
      <c r="A11" s="3">
        <v>46271</v>
      </c>
      <c r="B11" s="0" t="inlineStr">
        <is>
          <t xml:space="preserve">DOORDASH*PANDA EXPRESS</t>
        </is>
      </c>
      <c r="C11" s="2">
        <v>-24.87</v>
      </c>
      <c r="D11" s="0" t="inlineStr">
        <is>
          <t xml:space="preserve">Delivery &amp; Takeout</t>
        </is>
      </c>
      <c r="E11" s="0" t="inlineStr">
        <is>
          <t xml:space="preserve">delivery</t>
        </is>
      </c>
      <c r="F11" s="0" t="inlineStr">
        <is>
          <t xml:space="preserve">S1:11</t>
        </is>
      </c>
    </row>
    <row r="12" ht="27" customHeight="1">
      <c r="A12" s="3">
        <v>46271</v>
      </c>
      <c r="B12" s="0" t="inlineStr">
        <is>
          <t xml:space="preserve">LATE FEE</t>
        </is>
      </c>
      <c r="C12" s="2">
        <v>-32.00</v>
      </c>
      <c r="D12" s="0" t="inlineStr">
        <is>
          <t xml:space="preserve">Bank Fees &amp; Interest</t>
        </is>
      </c>
      <c r="E12" s="0" t="inlineStr">
        <is>
          <t xml:space="preserve">fee</t>
        </is>
      </c>
      <c r="F12" s="0" t="inlineStr">
        <is>
          <t xml:space="preserve">S1:12</t>
        </is>
      </c>
    </row>
    <row r="13" ht="27" customHeight="1">
      <c r="A13" s="3">
        <v>46272</v>
      </c>
      <c r="B13" s="0" t="inlineStr">
        <is>
          <t xml:space="preserve">PEACOCK 8D3K2 PREMIUM</t>
        </is>
      </c>
      <c r="C13" s="2">
        <v>-10.99</v>
      </c>
      <c r="D13" s="0" t="inlineStr">
        <is>
          <t xml:space="preserve">Subscriptions</t>
        </is>
      </c>
      <c r="E13" s="0" t="inlineStr">
        <is>
          <t xml:space="preserve">subscription</t>
        </is>
      </c>
      <c r="F13" s="0" t="inlineStr">
        <is>
          <t xml:space="preserve">S1:13</t>
        </is>
      </c>
    </row>
    <row r="14" ht="27" customHeight="1">
      <c r="A14" s="3">
        <v>46272</v>
      </c>
      <c r="B14" s="0" t="inlineStr">
        <is>
          <t xml:space="preserve">AMAZON MKTPL*ZX81P</t>
        </is>
      </c>
      <c r="C14" s="2">
        <v>-38.49</v>
      </c>
      <c r="D14" s="0" t="inlineStr">
        <is>
          <t xml:space="preserve">Shopping</t>
        </is>
      </c>
      <c r="E14" s="0" t="inlineStr">
        <is>
          <t xml:space="preserve"/>
        </is>
      </c>
      <c r="F14" s="0" t="inlineStr">
        <is>
          <t xml:space="preserve">S1:14</t>
        </is>
      </c>
    </row>
    <row r="15" ht="27" customHeight="1">
      <c r="A15" s="3">
        <v>46273</v>
      </c>
      <c r="B15" s="0" t="inlineStr">
        <is>
          <t xml:space="preserve">UBER *EATS PENDING</t>
        </is>
      </c>
      <c r="C15" s="2">
        <v>-31.15</v>
      </c>
      <c r="D15" s="0" t="inlineStr">
        <is>
          <t xml:space="preserve">Delivery &amp; Takeout</t>
        </is>
      </c>
      <c r="E15" s="0" t="inlineStr">
        <is>
          <t xml:space="preserve">delivery</t>
        </is>
      </c>
      <c r="F15" s="0" t="inlineStr">
        <is>
          <t xml:space="preserve">S1:15</t>
        </is>
      </c>
    </row>
    <row r="16" ht="27" customHeight="1">
      <c r="A16" s="3">
        <v>46273</v>
      </c>
      <c r="B16" s="0" t="inlineStr">
        <is>
          <t xml:space="preserve">SQ *THE BURGER JOINT</t>
        </is>
      </c>
      <c r="C16" s="2">
        <v>-42.60</v>
      </c>
      <c r="D16" s="0" t="inlineStr">
        <is>
          <t xml:space="preserve">Restaurants &amp; Coffee</t>
        </is>
      </c>
      <c r="E16" s="0" t="inlineStr">
        <is>
          <t xml:space="preserve"/>
        </is>
      </c>
      <c r="F16" s="0" t="inlineStr">
        <is>
          <t xml:space="preserve">S1:16</t>
        </is>
      </c>
    </row>
    <row r="17" ht="27" customHeight="1">
      <c r="A17" s="3">
        <v>46274</v>
      </c>
      <c r="B17" s="0" t="inlineStr">
        <is>
          <t xml:space="preserve">DOORDASH*WINGSTOP</t>
        </is>
      </c>
      <c r="C17" s="2">
        <v>-36.20</v>
      </c>
      <c r="D17" s="0" t="inlineStr">
        <is>
          <t xml:space="preserve">Delivery &amp; Takeout</t>
        </is>
      </c>
      <c r="E17" s="0" t="inlineStr">
        <is>
          <t xml:space="preserve">delivery</t>
        </is>
      </c>
      <c r="F17" s="0" t="inlineStr">
        <is>
          <t xml:space="preserve">S1:17</t>
        </is>
      </c>
    </row>
    <row r="18" ht="27" customHeight="1">
      <c r="A18" s="3">
        <v>46274</v>
      </c>
      <c r="B18" s="0" t="inlineStr">
        <is>
          <t xml:space="preserve">TRADER JOE S #551</t>
        </is>
      </c>
      <c r="C18" s="2">
        <v>-54.12</v>
      </c>
      <c r="D18" s="0" t="inlineStr">
        <is>
          <t xml:space="preserve">Groceries</t>
        </is>
      </c>
      <c r="E18" s="0" t="inlineStr">
        <is>
          <t xml:space="preserve"/>
        </is>
      </c>
      <c r="F18" s="0" t="inlineStr">
        <is>
          <t xml:space="preserve">S1:18</t>
        </is>
      </c>
    </row>
    <row r="19" ht="27" customHeight="1">
      <c r="A19" s="3">
        <v>46274</v>
      </c>
      <c r="B19" s="0" t="inlineStr">
        <is>
          <t xml:space="preserve">CAPITAL PAYMENT - THANK YOU</t>
        </is>
      </c>
      <c r="C19" s="2">
        <v>150.00</v>
      </c>
      <c r="D19" s="0" t="inlineStr">
        <is>
          <t xml:space="preserve">Transfers</t>
        </is>
      </c>
      <c r="E19" s="0" t="inlineStr">
        <is>
          <t xml:space="preserve"/>
        </is>
      </c>
      <c r="F19" s="0" t="inlineStr">
        <is>
          <t xml:space="preserve">S1:19</t>
        </is>
      </c>
    </row>
    <row r="20" ht="27" customHeight="1">
      <c r="A20" s="3">
        <v>46275</v>
      </c>
      <c r="B20" s="0" t="inlineStr">
        <is>
          <t xml:space="preserve">MAX.COM</t>
        </is>
      </c>
      <c r="C20" s="2">
        <v>-16.99</v>
      </c>
      <c r="D20" s="0" t="inlineStr">
        <is>
          <t xml:space="preserve">Subscriptions</t>
        </is>
      </c>
      <c r="E20" s="0" t="inlineStr">
        <is>
          <t xml:space="preserve">subscription</t>
        </is>
      </c>
      <c r="F20" s="0" t="inlineStr">
        <is>
          <t xml:space="preserve">S1:20</t>
        </is>
      </c>
    </row>
    <row r="21" ht="27" customHeight="1">
      <c r="A21" s="3">
        <v>46275</v>
      </c>
      <c r="B21" s="0" t="inlineStr">
        <is>
          <t xml:space="preserve">STARBUCKS STORE [number removed]</t>
        </is>
      </c>
      <c r="C21" s="2">
        <v>-5.95</v>
      </c>
      <c r="D21" s="0" t="inlineStr">
        <is>
          <t xml:space="preserve">Restaurants &amp; Coffee</t>
        </is>
      </c>
      <c r="E21" s="0" t="inlineStr">
        <is>
          <t xml:space="preserve"/>
        </is>
      </c>
      <c r="F21" s="0" t="inlineStr">
        <is>
          <t xml:space="preserve">S1:21</t>
        </is>
      </c>
    </row>
    <row r="22" ht="27" customHeight="1">
      <c r="A22" s="3">
        <v>46276</v>
      </c>
      <c r="B22" s="0" t="inlineStr">
        <is>
          <t xml:space="preserve">TST* BLUE DOOR COFFEE</t>
        </is>
      </c>
      <c r="C22" s="2">
        <v>-6.75</v>
      </c>
      <c r="D22" s="0" t="inlineStr">
        <is>
          <t xml:space="preserve">Restaurants &amp; Coffee</t>
        </is>
      </c>
      <c r="E22" s="0" t="inlineStr">
        <is>
          <t xml:space="preserve">possible double charge</t>
        </is>
      </c>
      <c r="F22" s="0" t="inlineStr">
        <is>
          <t xml:space="preserve">S1:22</t>
        </is>
      </c>
    </row>
    <row r="23" ht="27" customHeight="1">
      <c r="A23" s="3">
        <v>46276</v>
      </c>
      <c r="B23" s="0" t="inlineStr">
        <is>
          <t xml:space="preserve">TST* BLUE DOOR COFFEE</t>
        </is>
      </c>
      <c r="C23" s="2">
        <v>-6.75</v>
      </c>
      <c r="D23" s="0" t="inlineStr">
        <is>
          <t xml:space="preserve">Restaurants &amp; Coffee</t>
        </is>
      </c>
      <c r="E23" s="0" t="inlineStr">
        <is>
          <t xml:space="preserve">possible double charge</t>
        </is>
      </c>
      <c r="F23" s="0" t="inlineStr">
        <is>
          <t xml:space="preserve">S1:23</t>
        </is>
      </c>
    </row>
    <row r="24" ht="27" customHeight="1">
      <c r="A24" s="3">
        <v>46277</v>
      </c>
      <c r="B24" s="0" t="inlineStr">
        <is>
          <t xml:space="preserve">GRUBHUB*FIVEGUYS</t>
        </is>
      </c>
      <c r="C24" s="2">
        <v>-29.64</v>
      </c>
      <c r="D24" s="0" t="inlineStr">
        <is>
          <t xml:space="preserve">Delivery &amp; Takeout</t>
        </is>
      </c>
      <c r="E24" s="0" t="inlineStr">
        <is>
          <t xml:space="preserve">delivery</t>
        </is>
      </c>
      <c r="F24" s="0" t="inlineStr">
        <is>
          <t xml:space="preserve">S1:24</t>
        </is>
      </c>
    </row>
    <row r="25" ht="27" customHeight="1">
      <c r="A25" s="3">
        <v>46277</v>
      </c>
      <c r="B25" s="0" t="inlineStr">
        <is>
          <t xml:space="preserve">STARBUCKS STORE [number removed]</t>
        </is>
      </c>
      <c r="C25" s="2">
        <v>-7.15</v>
      </c>
      <c r="D25" s="0" t="inlineStr">
        <is>
          <t xml:space="preserve">Restaurants &amp; Coffee</t>
        </is>
      </c>
      <c r="E25" s="0" t="inlineStr">
        <is>
          <t xml:space="preserve"/>
        </is>
      </c>
      <c r="F25" s="0" t="inlineStr">
        <is>
          <t xml:space="preserve">S1:25</t>
        </is>
      </c>
    </row>
    <row r="26" ht="27" customHeight="1">
      <c r="A26" s="3">
        <v>46278</v>
      </c>
      <c r="B26" s="0" t="inlineStr">
        <is>
          <t xml:space="preserve">PARAMOUNT+</t>
        </is>
      </c>
      <c r="C26" s="2">
        <v>-12.99</v>
      </c>
      <c r="D26" s="0" t="inlineStr">
        <is>
          <t xml:space="preserve">Subscriptions</t>
        </is>
      </c>
      <c r="E26" s="0" t="inlineStr">
        <is>
          <t xml:space="preserve">subscription</t>
        </is>
      </c>
      <c r="F26" s="0" t="inlineStr">
        <is>
          <t xml:space="preserve">S1:26</t>
        </is>
      </c>
    </row>
    <row r="27" ht="27" customHeight="1">
      <c r="A27" s="3">
        <v>46278</v>
      </c>
      <c r="B27" s="0" t="inlineStr">
        <is>
          <t xml:space="preserve">SHELL OIL ****2190</t>
        </is>
      </c>
      <c r="C27" s="2">
        <v>-39.70</v>
      </c>
      <c r="D27" s="0" t="inlineStr">
        <is>
          <t xml:space="preserve">Gas &amp; Transit</t>
        </is>
      </c>
      <c r="E27" s="0" t="inlineStr">
        <is>
          <t xml:space="preserve"/>
        </is>
      </c>
      <c r="F27" s="0" t="inlineStr">
        <is>
          <t xml:space="preserve">S1:27</t>
        </is>
      </c>
    </row>
    <row r="28" ht="27" customHeight="1">
      <c r="A28" s="3">
        <v>46278</v>
      </c>
      <c r="B28" s="0" t="inlineStr">
        <is>
          <t xml:space="preserve">FOREIGN TRANSACTION FEE</t>
        </is>
      </c>
      <c r="C28" s="2">
        <v>-1.17</v>
      </c>
      <c r="D28" s="0" t="inlineStr">
        <is>
          <t xml:space="preserve">Bank Fees &amp; Interest</t>
        </is>
      </c>
      <c r="E28" s="0" t="inlineStr">
        <is>
          <t xml:space="preserve">fee</t>
        </is>
      </c>
      <c r="F28" s="0" t="inlineStr">
        <is>
          <t xml:space="preserve">S1:28</t>
        </is>
      </c>
    </row>
    <row r="29" ht="27" customHeight="1">
      <c r="A29" s="3">
        <v>46278</v>
      </c>
      <c r="B29" s="0" t="inlineStr">
        <is>
          <t xml:space="preserve">ALIEXPRESS.COM</t>
        </is>
      </c>
      <c r="C29" s="2">
        <v>-38.90</v>
      </c>
      <c r="D29" s="0" t="inlineStr">
        <is>
          <t xml:space="preserve">Shopping</t>
        </is>
      </c>
      <c r="E29" s="0" t="inlineStr">
        <is>
          <t xml:space="preserve"/>
        </is>
      </c>
      <c r="F29" s="0" t="inlineStr">
        <is>
          <t xml:space="preserve">S1:29</t>
        </is>
      </c>
    </row>
    <row r="30" ht="27" customHeight="1">
      <c r="A30" s="3">
        <v>46279</v>
      </c>
      <c r="B30" s="0" t="inlineStr">
        <is>
          <t xml:space="preserve">DOORDASH*CHICK-FIL-A</t>
        </is>
      </c>
      <c r="C30" s="2">
        <v>-21.08</v>
      </c>
      <c r="D30" s="0" t="inlineStr">
        <is>
          <t xml:space="preserve">Delivery &amp; Takeout</t>
        </is>
      </c>
      <c r="E30" s="0" t="inlineStr">
        <is>
          <t xml:space="preserve">delivery</t>
        </is>
      </c>
      <c r="F30" s="0" t="inlineStr">
        <is>
          <t xml:space="preserve">S1:30</t>
        </is>
      </c>
    </row>
    <row r="31" ht="27" customHeight="1">
      <c r="A31" s="3">
        <v>46279</v>
      </c>
      <c r="B31" s="0" t="inlineStr">
        <is>
          <t xml:space="preserve">TARGET ****2345</t>
        </is>
      </c>
      <c r="C31" s="2">
        <v>-64.20</v>
      </c>
      <c r="D31" s="0" t="inlineStr">
        <is>
          <t xml:space="preserve">Shopping</t>
        </is>
      </c>
      <c r="E31" s="0" t="inlineStr">
        <is>
          <t xml:space="preserve"/>
        </is>
      </c>
      <c r="F31" s="0" t="inlineStr">
        <is>
          <t xml:space="preserve">S1:31</t>
        </is>
      </c>
    </row>
    <row r="32" ht="27" customHeight="1">
      <c r="A32" s="3">
        <v>46280</v>
      </c>
      <c r="B32" s="0" t="inlineStr">
        <is>
          <t xml:space="preserve">AMAZON PRIME*2K4L9</t>
        </is>
      </c>
      <c r="C32" s="2">
        <v>-14.99</v>
      </c>
      <c r="D32" s="0" t="inlineStr">
        <is>
          <t xml:space="preserve">Subscriptions</t>
        </is>
      </c>
      <c r="E32" s="0" t="inlineStr">
        <is>
          <t xml:space="preserve">subscription</t>
        </is>
      </c>
      <c r="F32" s="0" t="inlineStr">
        <is>
          <t xml:space="preserve">S1:32</t>
        </is>
      </c>
    </row>
    <row r="33" ht="27" customHeight="1">
      <c r="A33" s="3">
        <v>46280</v>
      </c>
      <c r="B33" s="0" t="inlineStr">
        <is>
          <t xml:space="preserve">LYFT *RIDE SAT 11PM</t>
        </is>
      </c>
      <c r="C33" s="2">
        <v>-23.40</v>
      </c>
      <c r="D33" s="0" t="inlineStr">
        <is>
          <t xml:space="preserve">Rideshare</t>
        </is>
      </c>
      <c r="E33" s="0" t="inlineStr">
        <is>
          <t xml:space="preserve"/>
        </is>
      </c>
      <c r="F33" s="0" t="inlineStr">
        <is>
          <t xml:space="preserve">S1:33</t>
        </is>
      </c>
    </row>
    <row r="34" ht="27" customHeight="1">
      <c r="A34" s="3">
        <v>46281</v>
      </c>
      <c r="B34" s="0" t="inlineStr">
        <is>
          <t xml:space="preserve">CRUNCH FITNESS</t>
        </is>
      </c>
      <c r="C34" s="2">
        <v>-29.99</v>
      </c>
      <c r="D34" s="0" t="inlineStr">
        <is>
          <t xml:space="preserve">Subscriptions</t>
        </is>
      </c>
      <c r="E34" s="0" t="inlineStr">
        <is>
          <t xml:space="preserve">subscription</t>
        </is>
      </c>
      <c r="F34" s="0" t="inlineStr">
        <is>
          <t xml:space="preserve">S1:34</t>
        </is>
      </c>
    </row>
    <row r="35" ht="27" customHeight="1">
      <c r="A35" s="3">
        <v>46281</v>
      </c>
      <c r="B35" s="0" t="inlineStr">
        <is>
          <t xml:space="preserve">STARBUCKS STORE [number removed]</t>
        </is>
      </c>
      <c r="C35" s="2">
        <v>-5.95</v>
      </c>
      <c r="D35" s="0" t="inlineStr">
        <is>
          <t xml:space="preserve">Restaurants &amp; Coffee</t>
        </is>
      </c>
      <c r="E35" s="0" t="inlineStr">
        <is>
          <t xml:space="preserve">possible double charge</t>
        </is>
      </c>
      <c r="F35" s="0" t="inlineStr">
        <is>
          <t xml:space="preserve">S1:35</t>
        </is>
      </c>
    </row>
    <row r="36" ht="27" customHeight="1">
      <c r="A36" s="3">
        <v>46281</v>
      </c>
      <c r="B36" s="0" t="inlineStr">
        <is>
          <t xml:space="preserve">KROGER #0412</t>
        </is>
      </c>
      <c r="C36" s="2">
        <v>-92.77</v>
      </c>
      <c r="D36" s="0" t="inlineStr">
        <is>
          <t xml:space="preserve">Groceries</t>
        </is>
      </c>
      <c r="E36" s="0" t="inlineStr">
        <is>
          <t xml:space="preserve"/>
        </is>
      </c>
      <c r="F36" s="0" t="inlineStr">
        <is>
          <t xml:space="preserve">S1:36</t>
        </is>
      </c>
    </row>
    <row r="37" ht="27" customHeight="1">
      <c r="A37" s="3">
        <v>46282</v>
      </c>
      <c r="B37" s="0" t="inlineStr">
        <is>
          <t xml:space="preserve">UBER *EATS</t>
        </is>
      </c>
      <c r="C37" s="2">
        <v>-27.93</v>
      </c>
      <c r="D37" s="0" t="inlineStr">
        <is>
          <t xml:space="preserve">Delivery &amp; Takeout</t>
        </is>
      </c>
      <c r="E37" s="0" t="inlineStr">
        <is>
          <t xml:space="preserve">delivery</t>
        </is>
      </c>
      <c r="F37" s="0" t="inlineStr">
        <is>
          <t xml:space="preserve">S1:37</t>
        </is>
      </c>
    </row>
    <row r="38" ht="27" customHeight="1">
      <c r="A38" s="3">
        <v>46282</v>
      </c>
      <c r="B38" s="0" t="inlineStr">
        <is>
          <t xml:space="preserve">STARBUCKS STORE [number removed]</t>
        </is>
      </c>
      <c r="C38" s="2">
        <v>-7.15</v>
      </c>
      <c r="D38" s="0" t="inlineStr">
        <is>
          <t xml:space="preserve">Restaurants &amp; Coffee</t>
        </is>
      </c>
      <c r="E38" s="0" t="inlineStr">
        <is>
          <t xml:space="preserve"/>
        </is>
      </c>
      <c r="F38" s="0" t="inlineStr">
        <is>
          <t xml:space="preserve">S1:38</t>
        </is>
      </c>
    </row>
    <row r="39" ht="27" customHeight="1">
      <c r="A39" s="3">
        <v>46283</v>
      </c>
      <c r="B39" s="0" t="inlineStr">
        <is>
          <t xml:space="preserve">STARBUCKS STORE [number removed]</t>
        </is>
      </c>
      <c r="C39" s="2">
        <v>-5.95</v>
      </c>
      <c r="D39" s="0" t="inlineStr">
        <is>
          <t xml:space="preserve">Restaurants &amp; Coffee</t>
        </is>
      </c>
      <c r="E39" s="0" t="inlineStr">
        <is>
          <t xml:space="preserve">possible double charge</t>
        </is>
      </c>
      <c r="F39" s="0" t="inlineStr">
        <is>
          <t xml:space="preserve">S1:39</t>
        </is>
      </c>
    </row>
    <row r="40" ht="27" customHeight="1">
      <c r="A40" s="3">
        <v>46283</v>
      </c>
      <c r="B40" s="0" t="inlineStr">
        <is>
          <t xml:space="preserve">AMAZON MKTPL*RT55Q</t>
        </is>
      </c>
      <c r="C40" s="2">
        <v>-22.99</v>
      </c>
      <c r="D40" s="0" t="inlineStr">
        <is>
          <t xml:space="preserve">Shopping</t>
        </is>
      </c>
      <c r="E40" s="0" t="inlineStr">
        <is>
          <t xml:space="preserve"/>
        </is>
      </c>
      <c r="F40" s="0" t="inlineStr">
        <is>
          <t xml:space="preserve">S1:40</t>
        </is>
      </c>
    </row>
    <row r="41" ht="27" customHeight="1">
      <c r="A41" s="3">
        <v>46284</v>
      </c>
      <c r="B41" s="0" t="inlineStr">
        <is>
          <t xml:space="preserve">NOOM INC</t>
        </is>
      </c>
      <c r="C41" s="2">
        <v>-209.00</v>
      </c>
      <c r="D41" s="0" t="inlineStr">
        <is>
          <t xml:space="preserve">Subscriptions</t>
        </is>
      </c>
      <c r="E41" s="0" t="inlineStr">
        <is>
          <t xml:space="preserve">subscription</t>
        </is>
      </c>
      <c r="F41" s="0" t="inlineStr">
        <is>
          <t xml:space="preserve">S1:41</t>
        </is>
      </c>
    </row>
    <row r="42" ht="27" customHeight="1">
      <c r="A42" s="3">
        <v>46284</v>
      </c>
      <c r="B42" s="0" t="inlineStr">
        <is>
          <t xml:space="preserve">CVS/PHARMACY #[number removed]</t>
        </is>
      </c>
      <c r="C42" s="2">
        <v>-17.62</v>
      </c>
      <c r="D42" s="0" t="inlineStr">
        <is>
          <t xml:space="preserve">Health &amp; Fitness</t>
        </is>
      </c>
      <c r="E42" s="0" t="inlineStr">
        <is>
          <t xml:space="preserve"/>
        </is>
      </c>
      <c r="F42" s="0" t="inlineStr">
        <is>
          <t xml:space="preserve">S1:42</t>
        </is>
      </c>
    </row>
    <row r="43" ht="27" customHeight="1">
      <c r="A43" s="3">
        <v>46285</v>
      </c>
      <c r="B43" s="0" t="inlineStr">
        <is>
          <t xml:space="preserve">DOORDASH*SWEETGREEN</t>
        </is>
      </c>
      <c r="C43" s="2">
        <v>-22.51</v>
      </c>
      <c r="D43" s="0" t="inlineStr">
        <is>
          <t xml:space="preserve">Delivery &amp; Takeout</t>
        </is>
      </c>
      <c r="E43" s="0" t="inlineStr">
        <is>
          <t xml:space="preserve">delivery</t>
        </is>
      </c>
      <c r="F43" s="0" t="inlineStr">
        <is>
          <t xml:space="preserve">S1:43</t>
        </is>
      </c>
    </row>
    <row r="44" ht="27" customHeight="1">
      <c r="A44" s="3">
        <v>46285</v>
      </c>
      <c r="B44" s="0" t="inlineStr">
        <is>
          <t xml:space="preserve">SHELL OIL ****2190</t>
        </is>
      </c>
      <c r="C44" s="2">
        <v>-46.05</v>
      </c>
      <c r="D44" s="0" t="inlineStr">
        <is>
          <t xml:space="preserve">Gas &amp; Transit</t>
        </is>
      </c>
      <c r="E44" s="0" t="inlineStr">
        <is>
          <t xml:space="preserve"/>
        </is>
      </c>
      <c r="F44" s="0" t="inlineStr">
        <is>
          <t xml:space="preserve">S1:44</t>
        </is>
      </c>
    </row>
    <row r="45" ht="27" customHeight="1">
      <c r="A45" s="3">
        <v>46286</v>
      </c>
      <c r="B45" s="0" t="inlineStr">
        <is>
          <t xml:space="preserve">GOOGLE *Google One</t>
        </is>
      </c>
      <c r="C45" s="2">
        <v>-2.99</v>
      </c>
      <c r="D45" s="0" t="inlineStr">
        <is>
          <t xml:space="preserve">Subscriptions</t>
        </is>
      </c>
      <c r="E45" s="0" t="inlineStr">
        <is>
          <t xml:space="preserve">subscription</t>
        </is>
      </c>
      <c r="F45" s="0" t="inlineStr">
        <is>
          <t xml:space="preserve">S1:45</t>
        </is>
      </c>
    </row>
    <row r="46" ht="27" customHeight="1">
      <c r="A46" s="3">
        <v>46286</v>
      </c>
      <c r="B46" s="0" t="inlineStr">
        <is>
          <t xml:space="preserve">OLIVE GARDEN 1192</t>
        </is>
      </c>
      <c r="C46" s="2">
        <v>-56.85</v>
      </c>
      <c r="D46" s="0" t="inlineStr">
        <is>
          <t xml:space="preserve">Restaurants &amp; Coffee</t>
        </is>
      </c>
      <c r="E46" s="0" t="inlineStr">
        <is>
          <t xml:space="preserve"/>
        </is>
      </c>
      <c r="F46" s="0" t="inlineStr">
        <is>
          <t xml:space="preserve">S1:46</t>
        </is>
      </c>
    </row>
    <row r="47" ht="27" customHeight="1">
      <c r="A47" s="3">
        <v>46286</v>
      </c>
      <c r="B47" s="0" t="inlineStr">
        <is>
          <t xml:space="preserve">AMAZON MKTPL*RT55Q REFUND</t>
        </is>
      </c>
      <c r="C47" s="2">
        <v>22.99</v>
      </c>
      <c r="D47" s="0" t="inlineStr">
        <is>
          <t xml:space="preserve">Shopping</t>
        </is>
      </c>
      <c r="E47" s="0" t="inlineStr">
        <is>
          <t xml:space="preserve"/>
        </is>
      </c>
      <c r="F47" s="0" t="inlineStr">
        <is>
          <t xml:space="preserve">S1:47</t>
        </is>
      </c>
    </row>
    <row r="48" ht="27" customHeight="1">
      <c r="A48" s="3">
        <v>46287</v>
      </c>
      <c r="B48" s="0" t="inlineStr">
        <is>
          <t xml:space="preserve">DOORDASH*PAPA JOHNS</t>
        </is>
      </c>
      <c r="C48" s="2">
        <v>-33.76</v>
      </c>
      <c r="D48" s="0" t="inlineStr">
        <is>
          <t xml:space="preserve">Delivery &amp; Takeout</t>
        </is>
      </c>
      <c r="E48" s="0" t="inlineStr">
        <is>
          <t xml:space="preserve">delivery</t>
        </is>
      </c>
      <c r="F48" s="0" t="inlineStr">
        <is>
          <t xml:space="preserve">S1:48</t>
        </is>
      </c>
    </row>
    <row r="49" ht="27" customHeight="1">
      <c r="A49" s="3">
        <v>46287</v>
      </c>
      <c r="B49" s="0" t="inlineStr">
        <is>
          <t xml:space="preserve">UBER *TRIP</t>
        </is>
      </c>
      <c r="C49" s="2">
        <v>-18.95</v>
      </c>
      <c r="D49" s="0" t="inlineStr">
        <is>
          <t xml:space="preserve">Rideshare</t>
        </is>
      </c>
      <c r="E49" s="0" t="inlineStr">
        <is>
          <t xml:space="preserve"/>
        </is>
      </c>
      <c r="F49" s="0" t="inlineStr">
        <is>
          <t xml:space="preserve">S1:49</t>
        </is>
      </c>
    </row>
    <row r="50" ht="27" customHeight="1">
      <c r="A50" s="3">
        <v>46288</v>
      </c>
      <c r="B50" s="0" t="inlineStr">
        <is>
          <t xml:space="preserve">DOORDASH DASHPASS</t>
        </is>
      </c>
      <c r="C50" s="2">
        <v>-9.99</v>
      </c>
      <c r="D50" s="0" t="inlineStr">
        <is>
          <t xml:space="preserve">Subscriptions</t>
        </is>
      </c>
      <c r="E50" s="0" t="inlineStr">
        <is>
          <t xml:space="preserve">subscription</t>
        </is>
      </c>
      <c r="F50" s="0" t="inlineStr">
        <is>
          <t xml:space="preserve">S1:50</t>
        </is>
      </c>
    </row>
    <row r="51" ht="27" customHeight="1">
      <c r="A51" s="3">
        <v>46288</v>
      </c>
      <c r="B51" s="0" t="inlineStr">
        <is>
          <t xml:space="preserve">STARBUCKS STORE [number removed]</t>
        </is>
      </c>
      <c r="C51" s="2">
        <v>-5.45</v>
      </c>
      <c r="D51" s="0" t="inlineStr">
        <is>
          <t xml:space="preserve">Restaurants &amp; Coffee</t>
        </is>
      </c>
      <c r="E51" s="0" t="inlineStr">
        <is>
          <t xml:space="preserve">possible double charge</t>
        </is>
      </c>
      <c r="F51" s="0" t="inlineStr">
        <is>
          <t xml:space="preserve">S1:51</t>
        </is>
      </c>
    </row>
    <row r="52" ht="27" customHeight="1">
      <c r="A52" s="3">
        <v>46289</v>
      </c>
      <c r="B52" s="0" t="inlineStr">
        <is>
          <t xml:space="preserve">STARBUCKS STORE [number removed]</t>
        </is>
      </c>
      <c r="C52" s="2">
        <v>-5.45</v>
      </c>
      <c r="D52" s="0" t="inlineStr">
        <is>
          <t xml:space="preserve">Restaurants &amp; Coffee</t>
        </is>
      </c>
      <c r="E52" s="0" t="inlineStr">
        <is>
          <t xml:space="preserve">possible double charge</t>
        </is>
      </c>
      <c r="F52" s="0" t="inlineStr">
        <is>
          <t xml:space="preserve">S1:52</t>
        </is>
      </c>
    </row>
    <row r="53" ht="27" customHeight="1">
      <c r="A53" s="3">
        <v>46289</v>
      </c>
      <c r="B53" s="0" t="inlineStr">
        <is>
          <t xml:space="preserve">ALDI [number removed]</t>
        </is>
      </c>
      <c r="C53" s="2">
        <v>-48.66</v>
      </c>
      <c r="D53" s="0" t="inlineStr">
        <is>
          <t xml:space="preserve">Groceries</t>
        </is>
      </c>
      <c r="E53" s="0" t="inlineStr">
        <is>
          <t xml:space="preserve"/>
        </is>
      </c>
      <c r="F53" s="0" t="inlineStr">
        <is>
          <t xml:space="preserve">S1:53</t>
        </is>
      </c>
    </row>
    <row r="54" ht="27" customHeight="1">
      <c r="A54" s="3">
        <v>46290</v>
      </c>
      <c r="B54" s="0" t="inlineStr">
        <is>
          <t xml:space="preserve">UBER *EATS</t>
        </is>
      </c>
      <c r="C54" s="2">
        <v>-19.88</v>
      </c>
      <c r="D54" s="0" t="inlineStr">
        <is>
          <t xml:space="preserve">Delivery &amp; Takeout</t>
        </is>
      </c>
      <c r="E54" s="0" t="inlineStr">
        <is>
          <t xml:space="preserve">delivery</t>
        </is>
      </c>
      <c r="F54" s="0" t="inlineStr">
        <is>
          <t xml:space="preserve">S1:54</t>
        </is>
      </c>
    </row>
    <row r="55" ht="27" customHeight="1">
      <c r="A55" s="3">
        <v>46290</v>
      </c>
      <c r="B55" s="0" t="inlineStr">
        <is>
          <t xml:space="preserve">STARBUCKS STORE [number removed]</t>
        </is>
      </c>
      <c r="C55" s="2">
        <v>-5.95</v>
      </c>
      <c r="D55" s="0" t="inlineStr">
        <is>
          <t xml:space="preserve">Restaurants &amp; Coffee</t>
        </is>
      </c>
      <c r="E55" s="0" t="inlineStr">
        <is>
          <t xml:space="preserve">possible double charge</t>
        </is>
      </c>
      <c r="F55" s="0" t="inlineStr">
        <is>
          <t xml:space="preserve">S1:55</t>
        </is>
      </c>
    </row>
    <row r="56" ht="27" customHeight="1">
      <c r="A56" s="3">
        <v>46291</v>
      </c>
      <c r="B56" s="0" t="inlineStr">
        <is>
          <t xml:space="preserve">STARBUCKS STORE [number removed]</t>
        </is>
      </c>
      <c r="C56" s="2">
        <v>-5.95</v>
      </c>
      <c r="D56" s="0" t="inlineStr">
        <is>
          <t xml:space="preserve">Restaurants &amp; Coffee</t>
        </is>
      </c>
      <c r="E56" s="0" t="inlineStr">
        <is>
          <t xml:space="preserve">possible double charge</t>
        </is>
      </c>
      <c r="F56" s="0" t="inlineStr">
        <is>
          <t xml:space="preserve">S1:56</t>
        </is>
      </c>
    </row>
    <row r="57" ht="27" customHeight="1">
      <c r="A57" s="3">
        <v>46291</v>
      </c>
      <c r="B57" s="0" t="inlineStr">
        <is>
          <t xml:space="preserve">SEPHORA.COM</t>
        </is>
      </c>
      <c r="C57" s="2">
        <v>-58.00</v>
      </c>
      <c r="D57" s="0" t="inlineStr">
        <is>
          <t xml:space="preserve">Personal Care</t>
        </is>
      </c>
      <c r="E57" s="0" t="inlineStr">
        <is>
          <t xml:space="preserve"/>
        </is>
      </c>
      <c r="F57" s="0" t="inlineStr">
        <is>
          <t xml:space="preserve">S1:57</t>
        </is>
      </c>
    </row>
    <row r="58" ht="27" customHeight="1">
      <c r="A58" s="3">
        <v>46291</v>
      </c>
      <c r="B58" s="0" t="inlineStr">
        <is>
          <t xml:space="preserve">INTEREST CHARGE:PURCHASES</t>
        </is>
      </c>
      <c r="C58" s="2">
        <v>-61.47</v>
      </c>
      <c r="D58" s="0" t="inlineStr">
        <is>
          <t xml:space="preserve">Bank Fees &amp; Interest</t>
        </is>
      </c>
      <c r="E58" s="0" t="inlineStr">
        <is>
          <t xml:space="preserve">fee</t>
        </is>
      </c>
      <c r="F58" s="0" t="inlineStr">
        <is>
          <t xml:space="preserve">S1:58</t>
        </is>
      </c>
    </row>
    <row r="59" ht="27" customHeight="1">
      <c r="A59" s="3">
        <v>46292</v>
      </c>
      <c r="B59" s="0" t="inlineStr">
        <is>
          <t xml:space="preserve">DOORDASH*CHIPOTLE</t>
        </is>
      </c>
      <c r="C59" s="2">
        <v>-25.40</v>
      </c>
      <c r="D59" s="0" t="inlineStr">
        <is>
          <t xml:space="preserve">Delivery &amp; Takeout</t>
        </is>
      </c>
      <c r="E59" s="0" t="inlineStr">
        <is>
          <t xml:space="preserve">delivery</t>
        </is>
      </c>
      <c r="F59" s="0" t="inlineStr">
        <is>
          <t xml:space="preserve">S1:59</t>
        </is>
      </c>
    </row>
    <row r="60" ht="27" customHeight="1">
      <c r="A60" s="3">
        <v>46293</v>
      </c>
      <c r="B60" s="0" t="inlineStr">
        <is>
          <t xml:space="preserve">SHELL OIL ****2190</t>
        </is>
      </c>
      <c r="C60" s="2">
        <v>-41.33</v>
      </c>
      <c r="D60" s="0" t="inlineStr">
        <is>
          <t xml:space="preserve">Gas &amp; Transit</t>
        </is>
      </c>
      <c r="E60" s="0" t="inlineStr">
        <is>
          <t xml:space="preserve"/>
        </is>
      </c>
      <c r="F60" s="0" t="inlineStr">
        <is>
          <t xml:space="preserve">S1:60</t>
        </is>
      </c>
    </row>
    <row r="61" ht="27" customHeight="1">
      <c r="A61" s="3">
        <v>46293</v>
      </c>
      <c r="B61" s="0" t="inlineStr">
        <is>
          <t xml:space="preserve">SQ *TAQUERIA EL SOL</t>
        </is>
      </c>
      <c r="C61" s="2">
        <v>-24.30</v>
      </c>
      <c r="D61" s="0" t="inlineStr">
        <is>
          <t xml:space="preserve">Restaurants &amp; Coffee</t>
        </is>
      </c>
      <c r="E61" s="0" t="inlineStr">
        <is>
          <t xml:space="preserve"/>
        </is>
      </c>
      <c r="F61" s="0" t="inlineStr">
        <is>
          <t xml:space="preserve">S1:61</t>
        </is>
      </c>
    </row>
    <row r="62" ht="27" customHeight="1">
      <c r="A62" s="3">
        <v>46294</v>
      </c>
      <c r="B62" s="0" t="inlineStr">
        <is>
          <t xml:space="preserve">DOORDASH*SHAKE SHACK</t>
        </is>
      </c>
      <c r="C62" s="2">
        <v>-30.12</v>
      </c>
      <c r="D62" s="0" t="inlineStr">
        <is>
          <t xml:space="preserve">Delivery &amp; Takeout</t>
        </is>
      </c>
      <c r="E62" s="0" t="inlineStr">
        <is>
          <t xml:space="preserve">delivery</t>
        </is>
      </c>
      <c r="F62" s="0" t="inlineStr">
        <is>
          <t xml:space="preserve">S1:62</t>
        </is>
      </c>
    </row>
    <row r="63" ht="27" customHeight="1">
      <c r="A63" s="3">
        <v>46295</v>
      </c>
      <c r="B63" s="0" t="inlineStr">
        <is>
          <t xml:space="preserve">STARBUCKS STORE [number removed]</t>
        </is>
      </c>
      <c r="C63" s="2">
        <v>-5.95</v>
      </c>
      <c r="D63" s="0" t="inlineStr">
        <is>
          <t xml:space="preserve">Restaurants &amp; Coffee</t>
        </is>
      </c>
      <c r="E63" s="0" t="inlineStr">
        <is>
          <t xml:space="preserve"/>
        </is>
      </c>
      <c r="F63" s="0" t="inlineStr">
        <is>
          <t xml:space="preserve">S1:63</t>
        </is>
      </c>
    </row>
    <row r="64" ht="27" customHeight="1">
      <c r="A64" s="3">
        <v>46295</v>
      </c>
      <c r="B64" s="0" t="inlineStr">
        <is>
          <t xml:space="preserve">KROGER #0412</t>
        </is>
      </c>
      <c r="C64" s="2">
        <v>-71.04</v>
      </c>
      <c r="D64" s="0" t="inlineStr">
        <is>
          <t xml:space="preserve">Groceries</t>
        </is>
      </c>
      <c r="E64" s="0" t="inlineStr">
        <is>
          <t xml:space="preserve"/>
        </is>
      </c>
      <c r="F64" s="0" t="inlineStr">
        <is>
          <t xml:space="preserve">S1:64</t>
        </is>
      </c>
    </row>
    <row r="65" ht="27" customHeight="1">
      <c r="A65" s="3">
        <v>46295</v>
      </c>
      <c r="B65" s="0" t="inlineStr">
        <is>
          <t xml:space="preserve">STARBUCKS STORE [number removed]</t>
        </is>
      </c>
      <c r="C65" s="2">
        <v>-7.15</v>
      </c>
      <c r="D65" s="0" t="inlineStr">
        <is>
          <t xml:space="preserve">Restaurants &amp; Coffee</t>
        </is>
      </c>
      <c r="E65" s="0" t="inlineStr">
        <is>
          <t xml:space="preserve"/>
        </is>
      </c>
      <c r="F65" s="0" t="inlineStr">
        <is>
          <t xml:space="preserve">S1:65</t>
        </is>
      </c>
    </row>
  </sheetData>
  <autoFilter ref="A1:F65"/>
  <pageMargins left="0.3" right="0.3" top="0.4" bottom="0.4" header="0.2" footer="0.2"/>
  <pageSetup paperSize="1" orientation="landscape" fitToWidth="1" fitToHeight="0"/>
  <headerFooter>
    <oddFooter>&amp;CPage &amp;P of &amp;N</oddFooter>
  </headerFooter>
</worksheet>
</file>