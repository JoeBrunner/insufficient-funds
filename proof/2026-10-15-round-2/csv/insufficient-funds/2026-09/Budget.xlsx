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ummary" sheetId="1" r:id="rId1"/>
    <sheet name="Subscriptions" sheetId="2" r:id="rId2"/>
    <sheet name="Budget" sheetId="3" r:id="rId3"/>
    <sheet name="Leaks" sheetId="4" r:id="rId4"/>
    <sheet name="Every charge" sheetId="5" r:id="rId5"/>
  </sheets>
  <definedNames>
    <definedName name="_xlnm.Print_Titles" localSheetId="0">'Summary'!$1:$1</definedName>
    <definedName name="_xlnm.Print_Titles" localSheetId="1">'Subscriptions'!$1:$1</definedName>
    <definedName name="_xlnm.Print_Titles" localSheetId="2">'Budget'!$1:$1</definedName>
    <definedName name="_xlnm.Print_Titles" localSheetId="3">'Leaks'!$1:$1</definedName>
    <definedName name="_xlnm.Print_Titles" localSheetId="4">'Every charge'!$1:$1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mmm d, yyyy"/>
  </numFmts>
  <fonts count="6">
    <font>
      <sz val="11"/>
      <color rgb="FF243247"/>
      <name val="Calibri"/>
    </font>
    <font>
      <b/>
      <sz val="11"/>
      <color rgb="FFFFFFFF"/>
      <name val="Calibri"/>
    </font>
    <font>
      <b/>
      <sz val="11"/>
      <color rgb="FF243247"/>
      <name val="Calibri"/>
    </font>
    <font>
      <b/>
      <sz val="20"/>
      <color rgb="FF243247"/>
      <name val="Calibri"/>
    </font>
    <font>
      <sz val="10"/>
      <color rgb="FF566579"/>
      <name val="Calibri"/>
    </font>
    <font>
      <b/>
      <sz val="11"/>
      <color rgb="FF8A3B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E5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vertical="center" wrapText="1"/>
    </xf>
    <xf numFmtId="164" fontId="0" fillId="0" borderId="0" xfId="0" applyNumberFormat="1" applyFont="1" applyFill="1" applyAlignment="1">
      <alignment vertical="center" wrapText="1"/>
    </xf>
    <xf numFmtId="165" fontId="0" fillId="0" borderId="0" xfId="0" applyNumberFormat="1" applyFont="1" applyFill="1" applyAlignment="1">
      <alignment vertical="center" wrapText="1"/>
    </xf>
    <xf numFmtId="0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6"/>
  <sheetViews>
    <sheetView workbookViewId="0"/>
  </sheetViews>
  <sheetFormatPr defaultRowHeight="27"/>
  <cols>
    <col min="1" max="1" width="38" customWidth="1"/>
    <col min="2" max="2" width="84" customWidth="1"/>
  </cols>
  <sheetData>
    <row r="1" ht="65" customHeight="1">
      <c r="A1" s="6" t="inlineStr">
        <is>
          <t xml:space="preserve">You brought in $3,280.00. You spent $3,760.35. That's $480.35 more than you made.</t>
        </is>
      </c>
    </row>
    <row r="2" ht="65" customHeight="1">
      <c r="A2" s="6" t="inlineStr">
        <is>
          <t xml:space="preserve">You pay for 13 subscriptions: $170.85 a month ($2,050.20 a year).</t>
        </is>
      </c>
    </row>
    <row r="3" ht="90" customHeight="1">
      <c r="A3" s="6" t="inlineStr">
        <is>
          <t xml:space="preserve">$468.55 a month is leaking ($5,622.60 a year). Top leaks: Delivery (18 orders), Overdraft and NSF fees, and Starbucks (22 visits).</t>
        </is>
      </c>
    </row>
    <row r="4" ht="40" customHeight="1">
      <c r="A4" s="6" t="inlineStr">
        <is>
          <t xml:space="preserve">This budget frees $513.47 a month.</t>
        </is>
      </c>
    </row>
    <row r="5" ht="27" customHeight="1">
      <c r="A5" s="0" t="inlineStr">
        <is>
          <t xml:space="preserve">Money in</t>
        </is>
      </c>
      <c r="B5" s="2">
        <v>3280.00</v>
      </c>
    </row>
    <row r="6" ht="27" customHeight="1">
      <c r="A6" s="0" t="inlineStr">
        <is>
          <t xml:space="preserve">Money out</t>
        </is>
      </c>
      <c r="B6" s="2">
        <v>3760.35</v>
      </c>
    </row>
    <row r="7" ht="27" customHeight="1">
      <c r="A7" s="0" t="inlineStr">
        <is>
          <t xml:space="preserve">Difference</t>
        </is>
      </c>
      <c r="B7" s="2">
        <v>-480.35</v>
      </c>
    </row>
    <row r="8" ht="27" customHeight="1">
      <c r="A8" s="0" t="inlineStr">
        <is>
          <t xml:space="preserve">Subscriptions per month</t>
        </is>
      </c>
      <c r="B8" s="2">
        <v>170.85</v>
      </c>
    </row>
    <row r="9" ht="27" customHeight="1">
      <c r="A9" s="0" t="inlineStr">
        <is>
          <t xml:space="preserve">Subscriptions per year</t>
        </is>
      </c>
      <c r="B9" s="2">
        <v>2050.20</v>
      </c>
    </row>
    <row r="10" ht="27" customHeight="1">
      <c r="A10" s="0" t="inlineStr">
        <is>
          <t xml:space="preserve">Leaks per month</t>
        </is>
      </c>
      <c r="B10" s="2">
        <v>468.55</v>
      </c>
    </row>
    <row r="11" ht="27" customHeight="1">
      <c r="A11" s="0" t="inlineStr">
        <is>
          <t xml:space="preserve">Leaks per year</t>
        </is>
      </c>
      <c r="B11" s="2">
        <v>5622.60</v>
      </c>
    </row>
    <row r="12" ht="27" customHeight="1">
      <c r="A12" s="0" t="inlineStr">
        <is>
          <t xml:space="preserve">What the plan frees</t>
        </is>
      </c>
      <c r="B12" s="2">
        <v>513.47</v>
      </c>
    </row>
    <row r="13" ht="27" customHeight="1">
      <c r="A13" s="0" t="inlineStr">
        <is>
          <t xml:space="preserve">Statement check</t>
        </is>
      </c>
      <c r="B13" s="0" t="inlineStr">
        <is>
          <t xml:space="preserve">Reconciled</t>
        </is>
      </c>
    </row>
    <row r="14" ht="31" customHeight="1">
      <c r="A14" s="7" t="inlineStr">
        <is>
          <t xml:space="preserve">Transfers are excluded. Refunds reduce spending. Card payments are not income.</t>
        </is>
      </c>
    </row>
    <row r="15" ht="31" customHeight="1">
      <c r="A15" s="7" t="inlineStr">
        <is>
          <t xml:space="preserve">Confirm billing intervals and cancels. Yearly amounts are estimates; checks are excluded.</t>
        </is>
      </c>
    </row>
    <row r="16" ht="31" customHeight="1">
      <c r="A16" s="7" t="inlineStr">
        <is>
          <t xml:space="preserve">This is a second look at your own numbers, not financial advice.</t>
        </is>
      </c>
    </row>
  </sheetData>
  <mergeCells count="7">
    <mergeCell ref="A1:B1"/>
    <mergeCell ref="A2:B2"/>
    <mergeCell ref="A3:B3"/>
    <mergeCell ref="A4:B4"/>
    <mergeCell ref="A14:B14"/>
    <mergeCell ref="A15:B15"/>
    <mergeCell ref="A16:B16"/>
  </mergeCells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2" customWidth="1"/>
    <col min="2" max="2" width="21" customWidth="1"/>
    <col min="3" max="3" width="31" customWidth="1"/>
    <col min="4" max="4" width="17" customWidth="1"/>
    <col min="5" max="5" width="18" customWidth="1"/>
    <col min="6" max="6" width="70" customWidth="1"/>
  </cols>
  <sheetData>
    <row r="1" ht="27" customHeight="1">
      <c r="A1" s="1" t="inlineStr">
        <is>
          <t xml:space="preserve">Subscription</t>
        </is>
      </c>
      <c r="B1" s="1" t="inlineStr">
        <is>
          <t xml:space="preserve">Paid this month</t>
        </is>
      </c>
      <c r="C1" s="1" t="inlineStr">
        <is>
          <t xml:space="preserve">How often</t>
        </is>
      </c>
      <c r="D1" s="1" t="inlineStr">
        <is>
          <t xml:space="preserve">Monthly</t>
        </is>
      </c>
      <c r="E1" s="1" t="inlineStr">
        <is>
          <t xml:space="preserve">Yearly</t>
        </is>
      </c>
      <c r="F1" s="1" t="inlineStr">
        <is>
          <t xml:space="preserve">Where to cancel</t>
        </is>
      </c>
    </row>
    <row r="2" ht="40" customHeight="1">
      <c r="A2" s="0" t="inlineStr">
        <is>
          <t xml:space="preserve">Amazon Prime</t>
        </is>
      </c>
      <c r="B2" s="2">
        <v>14.99</v>
      </c>
      <c r="C2" s="0" t="inlineStr">
        <is>
          <t xml:space="preserve">Monthly estimate, check billing</t>
        </is>
      </c>
      <c r="D2" s="2">
        <v>14.99</v>
      </c>
      <c r="E2" s="2">
        <v>179.88</v>
      </c>
      <c r="F2" s="0" t="inlineStr">
        <is>
          <t xml:space="preserve">Amazon &gt; Memberships &amp; Subscriptions</t>
        </is>
      </c>
    </row>
    <row r="3" ht="40" customHeight="1">
      <c r="A3" s="0" t="inlineStr">
        <is>
          <t xml:space="preserve">Apple (unknown service)</t>
        </is>
      </c>
      <c r="B3" s="2">
        <v>2.99</v>
      </c>
      <c r="C3" s="0" t="inlineStr">
        <is>
          <t xml:space="preserve">Monthly estimate, check billing</t>
        </is>
      </c>
      <c r="D3" s="2">
        <v>2.99</v>
      </c>
      <c r="E3" s="2">
        <v>35.88</v>
      </c>
      <c r="F3" s="0" t="inlineStr">
        <is>
          <t xml:space="preserve">Apple Settings &gt; your name &gt; Subscriptions; iCloud &gt; Manage Plan for iCloud+</t>
        </is>
      </c>
    </row>
    <row r="4" ht="40" customHeight="1">
      <c r="A4" s="0" t="inlineStr">
        <is>
          <t xml:space="preserve">Audible</t>
        </is>
      </c>
      <c r="B4" s="2">
        <v>14.95</v>
      </c>
      <c r="C4" s="0" t="inlineStr">
        <is>
          <t xml:space="preserve">Monthly estimate, check billing</t>
        </is>
      </c>
      <c r="D4" s="2">
        <v>14.95</v>
      </c>
      <c r="E4" s="2">
        <v>179.40</v>
      </c>
      <c r="F4" s="0" t="inlineStr">
        <is>
          <t xml:space="preserve">Audible website &gt; Account details &gt; Cancel membership</t>
        </is>
      </c>
    </row>
    <row r="5" ht="40" customHeight="1">
      <c r="A5" s="0" t="inlineStr">
        <is>
          <t xml:space="preserve">Disney+ bundle</t>
        </is>
      </c>
      <c r="B5" s="2">
        <v>12.99</v>
      </c>
      <c r="C5" s="0" t="inlineStr">
        <is>
          <t xml:space="preserve">Monthly estimate, check billing</t>
        </is>
      </c>
      <c r="D5" s="2">
        <v>12.99</v>
      </c>
      <c r="E5" s="2">
        <v>155.88</v>
      </c>
      <c r="F5" s="0" t="inlineStr">
        <is>
          <t xml:space="preserve">Disney+ &gt; Account &gt; Subscription &gt; Cancel, or the original biller</t>
        </is>
      </c>
    </row>
    <row r="6" ht="40" customHeight="1">
      <c r="A6" s="0" t="inlineStr">
        <is>
          <t xml:space="preserve">DoorDash DashPass</t>
        </is>
      </c>
      <c r="B6" s="2">
        <v>9.99</v>
      </c>
      <c r="C6" s="0" t="inlineStr">
        <is>
          <t xml:space="preserve">Monthly estimate, check billing</t>
        </is>
      </c>
      <c r="D6" s="2">
        <v>9.99</v>
      </c>
      <c r="E6" s="2">
        <v>119.88</v>
      </c>
      <c r="F6" s="0" t="inlineStr">
        <is>
          <t xml:space="preserve">DoorDash app &gt; Account &gt; DashPass &gt; End subscription</t>
        </is>
      </c>
    </row>
    <row r="7" ht="40" customHeight="1">
      <c r="A7" s="0" t="inlineStr">
        <is>
          <t xml:space="preserve">YouTube Premium</t>
        </is>
      </c>
      <c r="B7" s="2">
        <v>15.99</v>
      </c>
      <c r="C7" s="0" t="inlineStr">
        <is>
          <t xml:space="preserve">Monthly estimate, check billing</t>
        </is>
      </c>
      <c r="D7" s="2">
        <v>15.99</v>
      </c>
      <c r="E7" s="2">
        <v>191.88</v>
      </c>
      <c r="F7" s="0" t="inlineStr">
        <is>
          <t xml:space="preserve">YouTube &gt; Purchases and memberships, or Google Play &gt; Payments &amp; subscriptions</t>
        </is>
      </c>
    </row>
    <row r="8" ht="40" customHeight="1">
      <c r="A8" s="0" t="inlineStr">
        <is>
          <t xml:space="preserve">Hulu</t>
        </is>
      </c>
      <c r="B8" s="2">
        <v>11.99</v>
      </c>
      <c r="C8" s="0" t="inlineStr">
        <is>
          <t xml:space="preserve">Monthly estimate, check billing</t>
        </is>
      </c>
      <c r="D8" s="2">
        <v>11.99</v>
      </c>
      <c r="E8" s="2">
        <v>143.88</v>
      </c>
      <c r="F8" s="0" t="inlineStr">
        <is>
          <t xml:space="preserve">Hulu &gt; Account &gt; Cancel, or the original biller</t>
        </is>
      </c>
    </row>
    <row r="9" ht="40" customHeight="1">
      <c r="A9" s="0" t="inlineStr">
        <is>
          <t xml:space="preserve">Netflix</t>
        </is>
      </c>
      <c r="B9" s="2">
        <v>19.99</v>
      </c>
      <c r="C9" s="0" t="inlineStr">
        <is>
          <t xml:space="preserve">Monthly estimate, check billing</t>
        </is>
      </c>
      <c r="D9" s="2">
        <v>19.99</v>
      </c>
      <c r="E9" s="2">
        <v>239.88</v>
      </c>
      <c r="F9" s="0" t="inlineStr">
        <is>
          <t xml:space="preserve">Netflix &gt; Account &gt; Cancel membership</t>
        </is>
      </c>
    </row>
    <row r="10" ht="40" customHeight="1">
      <c r="A10" s="0" t="inlineStr">
        <is>
          <t xml:space="preserve">ChatGPT Plus</t>
        </is>
      </c>
      <c r="B10" s="2">
        <v>20.00</v>
      </c>
      <c r="C10" s="0" t="inlineStr">
        <is>
          <t xml:space="preserve">Monthly estimate, check billing</t>
        </is>
      </c>
      <c r="D10" s="2">
        <v>20.00</v>
      </c>
      <c r="E10" s="2">
        <v>240.00</v>
      </c>
      <c r="F10" s="0" t="inlineStr">
        <is>
          <t xml:space="preserve">ChatGPT &gt; Settings &gt; Subscription &gt; Cancel plan, or the app store that bills it</t>
        </is>
      </c>
    </row>
    <row r="11" ht="40" customHeight="1">
      <c r="A11" s="0" t="inlineStr">
        <is>
          <t xml:space="preserve">Paramount+</t>
        </is>
      </c>
      <c r="B11" s="2">
        <v>8.99</v>
      </c>
      <c r="C11" s="0" t="inlineStr">
        <is>
          <t xml:space="preserve">Monthly estimate, check billing</t>
        </is>
      </c>
      <c r="D11" s="2">
        <v>8.99</v>
      </c>
      <c r="E11" s="2">
        <v>107.88</v>
      </c>
      <c r="F11" s="0" t="inlineStr">
        <is>
          <t xml:space="preserve">Paramount+ &gt; Account &gt; Cancel subscription, or the original biller</t>
        </is>
      </c>
    </row>
    <row r="12" ht="40" customHeight="1">
      <c r="A12" s="0" t="inlineStr">
        <is>
          <t xml:space="preserve">Planet Fitness</t>
        </is>
      </c>
      <c r="B12" s="2">
        <v>15.00</v>
      </c>
      <c r="C12" s="0" t="inlineStr">
        <is>
          <t xml:space="preserve">Monthly estimate, check billing</t>
        </is>
      </c>
      <c r="D12" s="2">
        <v>15.00</v>
      </c>
      <c r="E12" s="2">
        <v>180.00</v>
      </c>
      <c r="F12" s="0" t="inlineStr">
        <is>
          <t xml:space="preserve">Planet Fitness app or your home club</t>
        </is>
      </c>
    </row>
    <row r="13" ht="40" customHeight="1">
      <c r="A13" s="0" t="inlineStr">
        <is>
          <t xml:space="preserve">Spotify</t>
        </is>
      </c>
      <c r="B13" s="2">
        <v>12.99</v>
      </c>
      <c r="C13" s="0" t="inlineStr">
        <is>
          <t xml:space="preserve">Monthly estimate, check billing</t>
        </is>
      </c>
      <c r="D13" s="2">
        <v>12.99</v>
      </c>
      <c r="E13" s="2">
        <v>155.88</v>
      </c>
      <c r="F13" s="0" t="inlineStr">
        <is>
          <t xml:space="preserve">Spotify &gt; Account &gt; Manage plan &gt; Cancel</t>
        </is>
      </c>
    </row>
    <row r="14" ht="40" customHeight="1">
      <c r="A14" s="0" t="inlineStr">
        <is>
          <t xml:space="preserve">Uber One</t>
        </is>
      </c>
      <c r="B14" s="2">
        <v>9.99</v>
      </c>
      <c r="C14" s="0" t="inlineStr">
        <is>
          <t xml:space="preserve">Monthly estimate, check billing</t>
        </is>
      </c>
      <c r="D14" s="2">
        <v>9.99</v>
      </c>
      <c r="E14" s="2">
        <v>119.88</v>
      </c>
      <c r="F14" s="0" t="inlineStr">
        <is>
          <t xml:space="preserve">Uber app &gt; Account &gt; Uber One &gt; Manage membership &gt; End membership</t>
        </is>
      </c>
    </row>
    <row r="15" ht="27" customHeight="1">
      <c r="A15" s="4" t="inlineStr">
        <is>
          <t xml:space="preserve">Total: 13</t>
        </is>
      </c>
      <c r="B15" s="4" t="inlineStr">
        <is>
          <t xml:space="preserve"/>
        </is>
      </c>
      <c r="C15" s="4" t="inlineStr">
        <is>
          <t xml:space="preserve"/>
        </is>
      </c>
      <c r="D15" s="5">
        <f>SUM(D2:D14)</f>
        <v>170.85</v>
      </c>
      <c r="E15" s="5">
        <f>SUM(E2:E14)</f>
        <v>2050.20</v>
      </c>
      <c r="F15" s="4" t="inlineStr">
        <is>
          <t xml:space="preserve"/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E36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25" customWidth="1"/>
    <col min="2" max="2" width="18" customWidth="1"/>
    <col min="3" max="3" width="22" customWidth="1"/>
    <col min="4" max="4" width="18" customWidth="1"/>
    <col min="5" max="5" width="70" customWidth="1"/>
  </cols>
  <sheetData>
    <row r="1" ht="27" customHeight="1">
      <c r="A1" s="1" t="inlineStr">
        <is>
          <t xml:space="preserve">Category</t>
        </is>
      </c>
      <c r="B1" s="1" t="inlineStr">
        <is>
          <t xml:space="preserve">Last month</t>
        </is>
      </c>
      <c r="C1" s="1" t="inlineStr">
        <is>
          <t xml:space="preserve">Next month's target</t>
        </is>
      </c>
      <c r="D1" s="1" t="inlineStr">
        <is>
          <t xml:space="preserve">Change</t>
        </is>
      </c>
      <c r="E1" s="1" t="inlineStr">
        <is>
          <t xml:space="preserve">Why</t>
        </is>
      </c>
    </row>
    <row r="2" ht="27" customHeight="1">
      <c r="A2" s="0" t="inlineStr">
        <is>
          <t xml:space="preserve">Housing</t>
        </is>
      </c>
      <c r="B2" s="2">
        <v>975.00</v>
      </c>
      <c r="C2" s="2">
        <v>975.00</v>
      </c>
      <c r="D2" s="2">
        <f>C2-B2</f>
        <v>0.00</v>
      </c>
      <c r="E2" s="0" t="inlineStr">
        <is>
          <t xml:space="preserve">Rent unchanged</t>
        </is>
      </c>
    </row>
    <row r="3" ht="40" customHeight="1">
      <c r="A3" s="0" t="inlineStr">
        <is>
          <t xml:space="preserve">Utilities</t>
        </is>
      </c>
      <c r="B3" s="2">
        <v>92.18</v>
      </c>
      <c r="C3" s="2">
        <v>92.18</v>
      </c>
      <c r="D3" s="2">
        <f>C3-B3</f>
        <v>0.00</v>
      </c>
      <c r="E3" s="0" t="inlineStr">
        <is>
          <t xml:space="preserve">Electric at this month's cost; roommate's $60 share counted separately</t>
        </is>
      </c>
    </row>
    <row r="4" ht="27" customHeight="1">
      <c r="A4" s="0" t="inlineStr">
        <is>
          <t xml:space="preserve">Phone &amp; Internet</t>
        </is>
      </c>
      <c r="B4" s="2">
        <v>120.00</v>
      </c>
      <c r="C4" s="2">
        <v>120.00</v>
      </c>
      <c r="D4" s="2">
        <f>C4-B4</f>
        <v>0.00</v>
      </c>
      <c r="E4" s="0" t="inlineStr">
        <is>
          <t xml:space="preserve">Phone and internet unchanged</t>
        </is>
      </c>
    </row>
    <row r="5" ht="27" customHeight="1">
      <c r="A5" s="0" t="inlineStr">
        <is>
          <t xml:space="preserve">Insurance</t>
        </is>
      </c>
      <c r="B5" s="2">
        <v>123.45</v>
      </c>
      <c r="C5" s="2">
        <v>123.45</v>
      </c>
      <c r="D5" s="2">
        <f>C5-B5</f>
        <v>0.00</v>
      </c>
      <c r="E5" s="0" t="inlineStr">
        <is>
          <t xml:space="preserve">Auto insurance unchanged</t>
        </is>
      </c>
    </row>
    <row r="6" ht="27" customHeight="1">
      <c r="A6" s="0" t="inlineStr">
        <is>
          <t xml:space="preserve">Car Payment</t>
        </is>
      </c>
      <c r="B6" s="2">
        <v>259.00</v>
      </c>
      <c r="C6" s="2">
        <v>259.00</v>
      </c>
      <c r="D6" s="2">
        <f>C6-B6</f>
        <v>0.00</v>
      </c>
      <c r="E6" s="0" t="inlineStr">
        <is>
          <t xml:space="preserve">Auto loan unchanged</t>
        </is>
      </c>
    </row>
    <row r="7" ht="27" customHeight="1">
      <c r="A7" s="0" t="inlineStr">
        <is>
          <t xml:space="preserve">Gas &amp; Transit</t>
        </is>
      </c>
      <c r="B7" s="2">
        <v>109.67</v>
      </c>
      <c r="C7" s="2">
        <v>109.67</v>
      </c>
      <c r="D7" s="2">
        <f>C7-B7</f>
        <v>0.00</v>
      </c>
      <c r="E7" s="0" t="inlineStr">
        <is>
          <t xml:space="preserve">Same as last month</t>
        </is>
      </c>
    </row>
    <row r="8" ht="27" customHeight="1">
      <c r="A8" s="0" t="inlineStr">
        <is>
          <t xml:space="preserve">Rideshare</t>
        </is>
      </c>
      <c r="B8" s="2">
        <v>41.50</v>
      </c>
      <c r="C8" s="2">
        <v>41.50</v>
      </c>
      <c r="D8" s="2">
        <f>C8-B8</f>
        <v>0.00</v>
      </c>
      <c r="E8" s="0" t="inlineStr">
        <is>
          <t xml:space="preserve">Same as last month</t>
        </is>
      </c>
    </row>
    <row r="9" ht="27" customHeight="1">
      <c r="A9" s="0" t="inlineStr">
        <is>
          <t xml:space="preserve">Groceries</t>
        </is>
      </c>
      <c r="B9" s="2">
        <v>368.28</v>
      </c>
      <c r="C9" s="2">
        <v>400.00</v>
      </c>
      <c r="D9" s="2">
        <f>C9-B9</f>
        <v>31.72</v>
      </c>
      <c r="E9" s="0" t="inlineStr">
        <is>
          <t xml:space="preserve">Up about $32 to cover more meals at home</t>
        </is>
      </c>
    </row>
    <row r="10" ht="27" customHeight="1">
      <c r="A10" s="0" t="inlineStr">
        <is>
          <t xml:space="preserve">Delivery &amp; Takeout</t>
        </is>
      </c>
      <c r="B10" s="2">
        <v>610.06</v>
      </c>
      <c r="C10" s="2">
        <v>305.03</v>
      </c>
      <c r="D10" s="2">
        <f>C10-B10</f>
        <v>-305.03</v>
      </c>
      <c r="E10" s="0" t="inlineStr">
        <is>
          <t xml:space="preserve">Half as many delivery orders</t>
        </is>
      </c>
    </row>
    <row r="11" ht="27" customHeight="1">
      <c r="A11" s="0" t="inlineStr">
        <is>
          <t xml:space="preserve">Restaurants &amp; Coffee</t>
        </is>
      </c>
      <c r="B11" s="2">
        <v>191.72</v>
      </c>
      <c r="C11" s="2">
        <v>137.17</v>
      </c>
      <c r="D11" s="2">
        <f>C11-B11</f>
        <v>-54.55</v>
      </c>
      <c r="E11" s="0" t="inlineStr">
        <is>
          <t xml:space="preserve">Half as many Starbucks stops; sit-down meals kept</t>
        </is>
      </c>
    </row>
    <row r="12" ht="40" customHeight="1">
      <c r="A12" s="0" t="inlineStr">
        <is>
          <t xml:space="preserve">Subscriptions</t>
        </is>
      </c>
      <c r="B12" s="2">
        <v>155.85</v>
      </c>
      <c r="C12" s="2">
        <v>124.88</v>
      </c>
      <c r="D12" s="2">
        <f>C12-B12</f>
        <v>-30.97</v>
      </c>
      <c r="E12" s="0" t="inlineStr">
        <is>
          <t xml:space="preserve">Drop standalone Hulu if your Disney+ bundle includes it, one of two delivery passes, and Paramount+ for now</t>
        </is>
      </c>
    </row>
    <row r="13" ht="40" customHeight="1">
      <c r="A13" s="0" t="inlineStr">
        <is>
          <t xml:space="preserve">Shopping</t>
        </is>
      </c>
      <c r="B13" s="2">
        <v>327.14</v>
      </c>
      <c r="C13" s="2">
        <v>180.00</v>
      </c>
      <c r="D13" s="2">
        <f>C13-B13</f>
        <v>-147.14</v>
      </c>
      <c r="E13" s="0" t="inlineStr">
        <is>
          <t xml:space="preserve">Down from $327; Amazon and Target were the biggest flexible line after delivery</t>
        </is>
      </c>
    </row>
    <row r="14" ht="27" customHeight="1">
      <c r="A14" s="0" t="inlineStr">
        <is>
          <t xml:space="preserve">Health &amp; Fitness</t>
        </is>
      </c>
      <c r="B14" s="2">
        <v>15.00</v>
      </c>
      <c r="C14" s="2">
        <v>15.00</v>
      </c>
      <c r="D14" s="2">
        <f>C14-B14</f>
        <v>0.00</v>
      </c>
      <c r="E14" s="0" t="inlineStr">
        <is>
          <t xml:space="preserve">Gym kept</t>
        </is>
      </c>
    </row>
    <row r="15" ht="27" customHeight="1">
      <c r="A15" s="0" t="inlineStr">
        <is>
          <t xml:space="preserve">Personal Care</t>
        </is>
      </c>
      <c r="B15" s="2">
        <v>32.00</v>
      </c>
      <c r="C15" s="2">
        <v>32.00</v>
      </c>
      <c r="D15" s="2">
        <f>C15-B15</f>
        <v>0.00</v>
      </c>
      <c r="E15" s="0" t="inlineStr">
        <is>
          <t xml:space="preserve">Haircut kept</t>
        </is>
      </c>
    </row>
    <row r="16" ht="27" customHeight="1">
      <c r="A16" s="0" t="inlineStr">
        <is>
          <t xml:space="preserve">Entertainment</t>
        </is>
      </c>
      <c r="B16" s="2">
        <v>44.50</v>
      </c>
      <c r="C16" s="2">
        <v>50.00</v>
      </c>
      <c r="D16" s="2">
        <f>C16-B16</f>
        <v>5.50</v>
      </c>
      <c r="E16" s="0" t="inlineStr">
        <is>
          <t xml:space="preserve">Fun money kept, slightly above last month</t>
        </is>
      </c>
    </row>
    <row r="17" ht="27" customHeight="1">
      <c r="A17" s="0" t="inlineStr">
        <is>
          <t xml:space="preserve">Travel</t>
        </is>
      </c>
      <c r="B17" s="2">
        <v>0.00</v>
      </c>
      <c r="C17" s="2">
        <v>0.00</v>
      </c>
      <c r="D17" s="2">
        <f>C17-B17</f>
        <v>0.00</v>
      </c>
      <c r="E17" s="0" t="inlineStr">
        <is>
          <t xml:space="preserve">Unused</t>
        </is>
      </c>
    </row>
    <row r="18" ht="27" customHeight="1">
      <c r="A18" s="0" t="inlineStr">
        <is>
          <t xml:space="preserve">Kids &amp; Pets</t>
        </is>
      </c>
      <c r="B18" s="2">
        <v>0.00</v>
      </c>
      <c r="C18" s="2">
        <v>0.00</v>
      </c>
      <c r="D18" s="2">
        <f>C18-B18</f>
        <v>0.00</v>
      </c>
      <c r="E18" s="0" t="inlineStr">
        <is>
          <t xml:space="preserve">Unused</t>
        </is>
      </c>
    </row>
    <row r="19" ht="27" customHeight="1">
      <c r="A19" s="0" t="inlineStr">
        <is>
          <t xml:space="preserve">Gifts &amp; Giving</t>
        </is>
      </c>
      <c r="B19" s="2">
        <v>0.00</v>
      </c>
      <c r="C19" s="2">
        <v>0.00</v>
      </c>
      <c r="D19" s="2">
        <f>C19-B19</f>
        <v>0.00</v>
      </c>
      <c r="E19" s="0" t="inlineStr">
        <is>
          <t xml:space="preserve">Unused</t>
        </is>
      </c>
    </row>
    <row r="20" ht="27" customHeight="1">
      <c r="A20" s="0" t="inlineStr">
        <is>
          <t xml:space="preserve">Debt Payments</t>
        </is>
      </c>
      <c r="B20" s="2">
        <v>125.00</v>
      </c>
      <c r="C20" s="2">
        <v>125.00</v>
      </c>
      <c r="D20" s="2">
        <f>C20-B20</f>
        <v>0.00</v>
      </c>
      <c r="E20" s="0" t="inlineStr">
        <is>
          <t xml:space="preserve">Student loan unchanged</t>
        </is>
      </c>
    </row>
    <row r="21" ht="40" customHeight="1">
      <c r="A21" s="0" t="inlineStr">
        <is>
          <t xml:space="preserve">Bank Fees &amp; Interest</t>
        </is>
      </c>
      <c r="B21" s="2">
        <v>90.00</v>
      </c>
      <c r="C21" s="2">
        <v>12.00</v>
      </c>
      <c r="D21" s="2">
        <f>C21-B21</f>
        <v>-78.00</v>
      </c>
      <c r="E21" s="0" t="inlineStr">
        <is>
          <t xml:space="preserve">Maintenance fee stays until you confirm how to waive it; ATM, overdraft and NSF fees avoided</t>
        </is>
      </c>
    </row>
    <row r="22" ht="27" customHeight="1">
      <c r="A22" s="0" t="inlineStr">
        <is>
          <t xml:space="preserve">Cash &amp; ATM</t>
        </is>
      </c>
      <c r="B22" s="2">
        <v>80.00</v>
      </c>
      <c r="C22" s="2">
        <v>60.00</v>
      </c>
      <c r="D22" s="2">
        <f>C22-B22</f>
        <v>-20.00</v>
      </c>
      <c r="E22" s="0" t="inlineStr">
        <is>
          <t xml:space="preserve">One in-network withdrawal instead of two out-of-network</t>
        </is>
      </c>
    </row>
    <row r="23" ht="27" customHeight="1">
      <c r="A23" s="0" t="inlineStr">
        <is>
          <t xml:space="preserve">Savings</t>
        </is>
      </c>
      <c r="B23" s="2">
        <v>0.00</v>
      </c>
      <c r="C23" s="2">
        <v>33.12</v>
      </c>
      <c r="D23" s="2">
        <f>C23-B23</f>
        <v>33.12</v>
      </c>
      <c r="E23" s="0" t="inlineStr">
        <is>
          <t xml:space="preserve">Everything left goes to the buffer first</t>
        </is>
      </c>
    </row>
    <row r="24" ht="40" customHeight="1">
      <c r="A24" s="0" t="inlineStr">
        <is>
          <t xml:space="preserve">Other</t>
        </is>
      </c>
      <c r="B24" s="2">
        <v>0.00</v>
      </c>
      <c r="C24" s="2">
        <v>85.00</v>
      </c>
      <c r="D24" s="2">
        <f>C24-B24</f>
        <v>85.00</v>
      </c>
      <c r="E24" s="0" t="inlineStr">
        <is>
          <t xml:space="preserve">The $85 online payment returned on Sep 28 may still be owed; set aside to pay it</t>
        </is>
      </c>
    </row>
    <row r="25" ht="27" customHeight="1">
      <c r="A25" s="4" t="inlineStr">
        <is>
          <t xml:space="preserve">Total assigned</t>
        </is>
      </c>
      <c r="B25" s="5">
        <f>SUM(B2:B24)</f>
        <v>3760.35</v>
      </c>
      <c r="C25" s="5">
        <f>SUM(C2:C24)</f>
        <v>3280.00</v>
      </c>
      <c r="D25" s="5">
        <f>SUM(D2:D24)</f>
        <v>-480.35</v>
      </c>
      <c r="E25" s="4" t="inlineStr">
        <is>
          <t xml:space="preserve">Every dollar has a job.</t>
        </is>
      </c>
    </row>
    <row r="26" ht="27" customHeight="1">
      <c r="A26" s="0" t="inlineStr">
        <is>
          <t xml:space="preserve">Income</t>
        </is>
      </c>
      <c r="B26" s="2">
        <v>3280.00</v>
      </c>
      <c r="C26" s="2">
        <v>3280.00</v>
      </c>
      <c r="D26" s="2">
        <v>0.00</v>
      </c>
      <c r="E26" s="0" t="inlineStr">
        <is>
          <t xml:space="preserve">Regular income received</t>
        </is>
      </c>
    </row>
    <row r="27" ht="27" customHeight="1">
      <c r="A27" s="0" t="inlineStr">
        <is>
          <t xml:space="preserve">Buffer within Savings</t>
        </is>
      </c>
      <c r="B27" s="0" t="inlineStr">
        <is>
          <t xml:space="preserve"/>
        </is>
      </c>
      <c r="C27" s="2">
        <v>33.12</v>
      </c>
      <c r="D27" s="0" t="inlineStr">
        <is>
          <t xml:space="preserve"/>
        </is>
      </c>
      <c r="E27" s="0" t="inlineStr">
        <is>
          <t xml:space="preserve">Already included in Savings</t>
        </is>
      </c>
    </row>
    <row r="28" ht="40" customHeight="1">
      <c r="A28" s="0" t="inlineStr">
        <is>
          <t xml:space="preserve">Buffer after allocation</t>
        </is>
      </c>
      <c r="B28" s="0" t="inlineStr">
        <is>
          <t xml:space="preserve"/>
        </is>
      </c>
      <c r="C28" s="2">
        <v>-92.23</v>
      </c>
      <c r="D28" s="0" t="inlineStr">
        <is>
          <t xml:space="preserve"/>
        </is>
      </c>
      <c r="E28" s="0" t="inlineStr">
        <is>
          <t xml:space="preserve">After restoring any negative starting balance</t>
        </is>
      </c>
    </row>
    <row r="29" ht="27" customHeight="1">
      <c r="A29" s="0" t="inlineStr">
        <is>
          <t xml:space="preserve">Transfers (excluded)</t>
        </is>
      </c>
      <c r="B29" s="2">
        <v>-60.00</v>
      </c>
      <c r="C29" s="2">
        <v>0.00</v>
      </c>
      <c r="D29" s="0" t="inlineStr">
        <is>
          <t xml:space="preserve"/>
        </is>
      </c>
      <c r="E29" s="0" t="inlineStr">
        <is>
          <t xml:space="preserve">Excluded from the totals above</t>
        </is>
      </c>
    </row>
    <row r="30" ht="27" customHeight="1">
      <c r="A30" s="0" t="inlineStr">
        <is>
          <t xml:space="preserve">How to change this</t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Tell Claude what to keep, then rebuild.</t>
        </is>
      </c>
    </row>
    <row r="31" ht="40" customHeight="1">
      <c r="A31" s="0" t="inlineStr">
        <is>
          <t xml:space="preserve">Assumption</t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Keep the Disney+ bundle; cancel standalone Hulu only if the bundle includes it.</t>
        </is>
      </c>
    </row>
    <row r="32" ht="27" customHeight="1">
      <c r="A32" s="0" t="inlineStr">
        <is>
          <t xml:space="preserve">Assumption</t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>Keep Uber One, cancel DashPass. Swap them if you prefer DoorDash.</t>
        </is>
      </c>
    </row>
    <row r="33" ht="40" customHeight="1">
      <c r="A33" s="0" t="inlineStr">
        <is>
          <t xml:space="preserve">Assumption</t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>Pause Paramount+; keep Netflix, Disney+, YouTube Premium, Spotify, Audible, ChatGPT Plus, Amazon Prime, Apple and Planet Fitness.</t>
        </is>
      </c>
    </row>
    <row r="34" ht="27" customHeight="1">
      <c r="A34" s="0" t="inlineStr">
        <is>
          <t xml:space="preserve">Assumption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>The $85 online payment returned on Sep 28 is treated as still owed.</t>
        </is>
      </c>
    </row>
    <row r="35" ht="40" customHeight="1">
      <c r="A35" s="0" t="inlineStr">
        <is>
          <t xml:space="preserve">Assumption</t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The account ended at -$125.35, so the buffer starts below zero; savings go there first.</t>
        </is>
      </c>
    </row>
    <row r="36" ht="40" customHeight="1">
      <c r="A36" s="0" t="inlineStr">
        <is>
          <t xml:space="preserve">Assumption</t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>Paydays were Sep 4 and Sep 18. Rent follows the first paycheck; loans, insurance and utilities follow the second.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36" customWidth="1"/>
    <col min="2" max="2" width="23" customWidth="1"/>
    <col min="3" max="3" width="17" customWidth="1"/>
    <col min="4" max="4" width="52" customWidth="1"/>
    <col min="5" max="5" width="48" customWidth="1"/>
    <col min="6" max="6" width="48" customWidth="1"/>
  </cols>
  <sheetData>
    <row r="1" ht="27" customHeight="1">
      <c r="A1" s="1" t="inlineStr">
        <is>
          <t xml:space="preserve">What</t>
        </is>
      </c>
      <c r="B1" s="1" t="inlineStr">
        <is>
          <t xml:space="preserve">Monthly or one-off</t>
        </is>
      </c>
      <c r="C1" s="1" t="inlineStr">
        <is>
          <t xml:space="preserve">Yearly</t>
        </is>
      </c>
      <c r="D1" s="1" t="inlineStr">
        <is>
          <t xml:space="preserve">Action</t>
        </is>
      </c>
      <c r="E1" s="1" t="inlineStr">
        <is>
          <t xml:space="preserve">Where to cancel</t>
        </is>
      </c>
      <c r="F1" s="1" t="inlineStr">
        <is>
          <t xml:space="preserve">Charges</t>
        </is>
      </c>
    </row>
    <row r="2" ht="145" customHeight="1">
      <c r="A2" s="0" t="inlineStr">
        <is>
          <t xml:space="preserve">Delivery, 18 orders</t>
        </is>
      </c>
      <c r="B2" s="2">
        <v>305.03</v>
      </c>
      <c r="C2" s="2">
        <v>3660.36</v>
      </c>
      <c r="D2" s="0" t="inlineStr">
        <is>
          <t xml:space="preserve">Order half as often; keep easy meals at home.</t>
        </is>
      </c>
      <c r="E2" s="0" t="inlineStr">
        <is>
          <t xml:space="preserve"/>
        </is>
      </c>
      <c r="F2" s="0" t="inlineStr">
        <is>
          <t xml:space="preserve">9/2 DoorDash orders, 9/4 Uber Eats orders, 9/5 DoorDash orders, 9/6 Uber Eats orders, 9/8 DoorDash orders, 9/10 Uber Eats orders, 9/11 DoorDash orders, 9/13 Uber Eats orders, 9/15 DoorDash orders, 9/16 Uber Eats orders, 9/18 DoorDash orders, 9/20 Uber Eats orders, 9/21 DoorDash orders, 9/23 Uber Eats orders, 9/25 DoorDash orders, 9/27 Uber Eats orders, 9/28 DoorDash orders, 9/30 Uber Eats orders</t>
        </is>
      </c>
    </row>
    <row r="3" ht="55" customHeight="1">
      <c r="A3" s="0" t="inlineStr">
        <is>
          <t xml:space="preserve">Overdraft and NSF fees</t>
        </is>
      </c>
      <c r="B3" s="2">
        <v>65.00</v>
      </c>
      <c r="C3" s="2">
        <v>780.00</v>
      </c>
      <c r="D3" s="0" t="inlineStr">
        <is>
          <t xml:space="preserve">A buffer of a few hundred dollars stops these. Ask the bank whether they will refund a first-time overdraft fee.</t>
        </is>
      </c>
      <c r="E3" s="0" t="inlineStr">
        <is>
          <t xml:space="preserve">Cedar Kite Bank</t>
        </is>
      </c>
      <c r="F3" s="0" t="inlineStr">
        <is>
          <t xml:space="preserve">9/29 Overdraft fee, 9/29 NSF returned-item fee</t>
        </is>
      </c>
    </row>
    <row r="4" ht="130" customHeight="1">
      <c r="A4" s="0" t="inlineStr">
        <is>
          <t xml:space="preserve">Starbucks, 22 visits</t>
        </is>
      </c>
      <c r="B4" s="2">
        <v>54.55</v>
      </c>
      <c r="C4" s="2">
        <v>654.60</v>
      </c>
      <c r="D4" s="0" t="inlineStr">
        <is>
          <t xml:space="preserve">Make half as many of these small purchases.</t>
        </is>
      </c>
      <c r="E4" s="0" t="inlineStr">
        <is>
          <t xml:space="preserve"/>
        </is>
      </c>
      <c r="F4" s="0" t="inlineStr">
        <is>
          <t xml:space="preserve">9/1 Starbucks, 9/2 Starbucks, 9/3 Starbucks, 9/4 Starbucks, 9/7 Starbucks, 9/8 Starbucks, 9/9 Starbucks, 9/10 Starbucks, 9/11 Starbucks, 9/14 Starbucks, 9/15 Starbucks, 9/16 Starbucks, 9/17 Starbucks, 9/18 Starbucks, 9/21 Starbucks, 9/22 Starbucks, 9/23 Starbucks, 9/24 Starbucks, 9/25 Starbucks, 9/28 Starbucks, 9/29 Starbucks, 9/30 Starbucks</t>
        </is>
      </c>
    </row>
    <row r="5" ht="55" customHeight="1">
      <c r="A5" s="0" t="inlineStr">
        <is>
          <t xml:space="preserve">Out-of-network ATM fees</t>
        </is>
      </c>
      <c r="B5" s="2">
        <v>13.00</v>
      </c>
      <c r="C5" s="2">
        <v>156.00</v>
      </c>
      <c r="D5" s="0" t="inlineStr">
        <is>
          <t xml:space="preserve">Use your bank's ATMs or get cash back at the grocery store.</t>
        </is>
      </c>
      <c r="E5" s="0" t="inlineStr">
        <is>
          <t xml:space="preserve">Your bank's ATM locator</t>
        </is>
      </c>
      <c r="F5" s="0" t="inlineStr">
        <is>
          <t xml:space="preserve">9/12 Non-network ATM fee, 9/12 ATM operator fee, 9/24 Non-network ATM fee, 9/24 ATM operator fee</t>
        </is>
      </c>
    </row>
    <row r="6" ht="40" customHeight="1">
      <c r="A6" s="0" t="inlineStr">
        <is>
          <t xml:space="preserve">Hulu, may be in Disney+ bundle</t>
        </is>
      </c>
      <c r="B6" s="2">
        <v>11.99</v>
      </c>
      <c r="C6" s="2">
        <v>143.88</v>
      </c>
      <c r="D6" s="0" t="inlineStr">
        <is>
          <t xml:space="preserve">Check whether your Disney+ bundle includes Hulu. If it does, cancel the standalone Hulu.</t>
        </is>
      </c>
      <c r="E6" s="0" t="inlineStr">
        <is>
          <t xml:space="preserve">Hulu &gt; Account &gt; Cancel, or the original biller</t>
        </is>
      </c>
      <c r="F6" s="0" t="inlineStr">
        <is>
          <t xml:space="preserve">9/3 Hulu</t>
        </is>
      </c>
    </row>
    <row r="7" ht="55" customHeight="1">
      <c r="A7" s="0" t="inlineStr">
        <is>
          <t xml:space="preserve">Two delivery passes</t>
        </is>
      </c>
      <c r="B7" s="2">
        <v>9.99</v>
      </c>
      <c r="C7" s="2">
        <v>119.88</v>
      </c>
      <c r="D7" s="0" t="inlineStr">
        <is>
          <t xml:space="preserve">You pay for both DashPass and Uber One. Keep one; the plan drops DashPass since Uber One also covers rides.</t>
        </is>
      </c>
      <c r="E7" s="0" t="inlineStr">
        <is>
          <t xml:space="preserve">DoorDash app &gt; Account &gt; DashPass &gt; End subscription</t>
        </is>
      </c>
      <c r="F7" s="0" t="inlineStr">
        <is>
          <t xml:space="preserve">9/15 DoorDash DashPass</t>
        </is>
      </c>
    </row>
    <row r="8" ht="40" customHeight="1">
      <c r="A8" s="0" t="inlineStr">
        <is>
          <t xml:space="preserve">Paramount+, sixth video/music plan</t>
        </is>
      </c>
      <c r="B8" s="2">
        <v>8.99</v>
      </c>
      <c r="C8" s="2">
        <v>107.88</v>
      </c>
      <c r="D8" s="0" t="inlineStr">
        <is>
          <t xml:space="preserve">Pause it and rotate back in for a show you want.</t>
        </is>
      </c>
      <c r="E8" s="0" t="inlineStr">
        <is>
          <t xml:space="preserve">Paramount+ &gt; Account &gt; Cancel subscription, or the original biller</t>
        </is>
      </c>
      <c r="F8" s="0" t="inlineStr">
        <is>
          <t xml:space="preserve">9/23 Paramount+</t>
        </is>
      </c>
    </row>
    <row r="9" ht="40" customHeight="1">
      <c r="A9" s="0" t="inlineStr">
        <is>
          <t xml:space="preserve">Target, same amount twice (check this)</t>
        </is>
      </c>
      <c r="B9" s="2">
        <v>28.74</v>
      </c>
      <c r="C9" s="0" t="inlineStr">
        <is>
          <t xml:space="preserve"/>
        </is>
      </c>
      <c r="D9" s="0" t="inlineStr">
        <is>
          <t xml:space="preserve">Two $28.74 charges on Sep 18. Check your receipt; dispute one if it was charged twice.</t>
        </is>
      </c>
      <c r="E9" s="0" t="inlineStr">
        <is>
          <t xml:space="preserve">Target receipt, then your bank</t>
        </is>
      </c>
      <c r="F9" s="0" t="inlineStr">
        <is>
          <t xml:space="preserve">9/18 Target, 9/18 Target</t>
        </is>
      </c>
    </row>
    <row r="10" ht="40" customHeight="1">
      <c r="A10" s="0" t="inlineStr">
        <is>
          <t xml:space="preserve">Monthly maintenance fee (check this)</t>
        </is>
      </c>
      <c r="B10" s="2">
        <v>12.00</v>
      </c>
      <c r="C10" s="0" t="inlineStr">
        <is>
          <t xml:space="preserve"/>
        </is>
      </c>
      <c r="D10" s="0" t="inlineStr">
        <is>
          <t xml:space="preserve">Ask the bank what waives this fee on your account.</t>
        </is>
      </c>
      <c r="E10" s="0" t="inlineStr">
        <is>
          <t xml:space="preserve">Cedar Kite Bank</t>
        </is>
      </c>
      <c r="F10" s="0" t="inlineStr">
        <is>
          <t xml:space="preserve">9/30 Monthly maintenance fee</t>
        </is>
      </c>
    </row>
  </sheetData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F99"/>
  <sheetViews>
    <sheetView workbookViewId="0">
      <pane ySplit="1" topLeftCell="A2" activePane="bottomLeft" state="frozen"/>
      <selection pane="bottomLeft" activeCell="A2" sqref="A2"/>
    </sheetView>
  </sheetViews>
  <sheetFormatPr defaultRowHeight="27"/>
  <cols>
    <col min="1" max="1" width="18" customWidth="1"/>
    <col min="2" max="2" width="59" customWidth="1"/>
    <col min="3" max="3" width="17" customWidth="1"/>
    <col min="4" max="4" width="26" customWidth="1"/>
    <col min="5" max="5" width="34" customWidth="1"/>
    <col min="6" max="6" width="16" customWidth="1"/>
  </cols>
  <sheetData>
    <row r="1" ht="27" customHeight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Flag</t>
        </is>
      </c>
      <c r="F1" s="1" t="inlineStr">
        <is>
          <t xml:space="preserve">Source line</t>
        </is>
      </c>
    </row>
    <row r="2" ht="27" customHeight="1">
      <c r="A2" s="3">
        <v>46266</v>
      </c>
      <c r="B2" s="0" t="inlineStr">
        <is>
          <t xml:space="preserve">POS DEBIT STARBUCKS #1042 RALEIGH NC 09/01</t>
        </is>
      </c>
      <c r="C2" s="2">
        <v>-4.53</v>
      </c>
      <c r="D2" s="0" t="inlineStr">
        <is>
          <t xml:space="preserve">Restaurants &amp; Coffee</t>
        </is>
      </c>
      <c r="E2" s="0" t="inlineStr">
        <is>
          <t xml:space="preserve"/>
        </is>
      </c>
      <c r="F2" s="0" t="inlineStr">
        <is>
          <t xml:space="preserve">S1:10</t>
        </is>
      </c>
    </row>
    <row r="3" ht="27" customHeight="1">
      <c r="A3" s="3">
        <v>46267</v>
      </c>
      <c r="B3" s="0" t="inlineStr">
        <is>
          <t xml:space="preserve">NETFLIX.COM</t>
        </is>
      </c>
      <c r="C3" s="2">
        <v>-19.99</v>
      </c>
      <c r="D3" s="0" t="inlineStr">
        <is>
          <t xml:space="preserve">Subscriptions</t>
        </is>
      </c>
      <c r="E3" s="0" t="inlineStr">
        <is>
          <t xml:space="preserve">subscription</t>
        </is>
      </c>
      <c r="F3" s="0" t="inlineStr">
        <is>
          <t xml:space="preserve">S1:11</t>
        </is>
      </c>
    </row>
    <row r="4" ht="27" customHeight="1">
      <c r="A4" s="3">
        <v>46267</v>
      </c>
      <c r="B4" s="0" t="inlineStr">
        <is>
          <t xml:space="preserve">POS DEBIT STARBUCKS #1042 RALEIGH NC 09/02</t>
        </is>
      </c>
      <c r="C4" s="2">
        <v>-4.56</v>
      </c>
      <c r="D4" s="0" t="inlineStr">
        <is>
          <t xml:space="preserve">Restaurants &amp; Coffee</t>
        </is>
      </c>
      <c r="E4" s="0" t="inlineStr">
        <is>
          <t xml:space="preserve"/>
        </is>
      </c>
      <c r="F4" s="0" t="inlineStr">
        <is>
          <t xml:space="preserve">S1:12</t>
        </is>
      </c>
    </row>
    <row r="5" ht="27" customHeight="1">
      <c r="A5" s="3">
        <v>46267</v>
      </c>
      <c r="B5" s="0" t="inlineStr">
        <is>
          <t xml:space="preserve">DOORDASH*CHIPOTLE</t>
        </is>
      </c>
      <c r="C5" s="2">
        <v>-31.93</v>
      </c>
      <c r="D5" s="0" t="inlineStr">
        <is>
          <t xml:space="preserve">Delivery &amp; Takeout</t>
        </is>
      </c>
      <c r="E5" s="0" t="inlineStr">
        <is>
          <t xml:space="preserve">delivery</t>
        </is>
      </c>
      <c r="F5" s="0" t="inlineStr">
        <is>
          <t xml:space="preserve">S1:13</t>
        </is>
      </c>
    </row>
    <row r="6" ht="27" customHeight="1">
      <c r="A6" s="3">
        <v>46268</v>
      </c>
      <c r="B6" s="0" t="inlineStr">
        <is>
          <t xml:space="preserve">HULU</t>
        </is>
      </c>
      <c r="C6" s="2">
        <v>-11.99</v>
      </c>
      <c r="D6" s="0" t="inlineStr">
        <is>
          <t xml:space="preserve">Subscriptions</t>
        </is>
      </c>
      <c r="E6" s="0" t="inlineStr">
        <is>
          <t xml:space="preserve">subscription</t>
        </is>
      </c>
      <c r="F6" s="0" t="inlineStr">
        <is>
          <t xml:space="preserve">S1:14</t>
        </is>
      </c>
    </row>
    <row r="7" ht="27" customHeight="1">
      <c r="A7" s="3">
        <v>46268</v>
      </c>
      <c r="B7" s="0" t="inlineStr">
        <is>
          <t xml:space="preserve">DISNEY PLUS BUNDLE</t>
        </is>
      </c>
      <c r="C7" s="2">
        <v>-12.99</v>
      </c>
      <c r="D7" s="0" t="inlineStr">
        <is>
          <t xml:space="preserve">Subscriptions</t>
        </is>
      </c>
      <c r="E7" s="0" t="inlineStr">
        <is>
          <t xml:space="preserve">subscription</t>
        </is>
      </c>
      <c r="F7" s="0" t="inlineStr">
        <is>
          <t xml:space="preserve">S1:15</t>
        </is>
      </c>
    </row>
    <row r="8" ht="27" customHeight="1">
      <c r="A8" s="3">
        <v>46268</v>
      </c>
      <c r="B8" s="0" t="inlineStr">
        <is>
          <t xml:space="preserve">POS DEBIT STARBUCKS #1042 RALEIGH NC 09/03</t>
        </is>
      </c>
      <c r="C8" s="2">
        <v>-4.59</v>
      </c>
      <c r="D8" s="0" t="inlineStr">
        <is>
          <t xml:space="preserve">Restaurants &amp; Coffee</t>
        </is>
      </c>
      <c r="E8" s="0" t="inlineStr">
        <is>
          <t xml:space="preserve"/>
        </is>
      </c>
      <c r="F8" s="0" t="inlineStr">
        <is>
          <t xml:space="preserve">S1:16</t>
        </is>
      </c>
    </row>
    <row r="9" ht="27" customHeight="1">
      <c r="A9" s="3">
        <v>46269</v>
      </c>
      <c r="B9" s="0" t="inlineStr">
        <is>
          <t xml:space="preserve">CEDAR LANE DESIGN PAYROLL DIRECT DEP</t>
        </is>
      </c>
      <c r="C9" s="2">
        <v>1640.00</v>
      </c>
      <c r="D9" s="0" t="inlineStr">
        <is>
          <t xml:space="preserve">Income</t>
        </is>
      </c>
      <c r="E9" s="0" t="inlineStr">
        <is>
          <t xml:space="preserve"/>
        </is>
      </c>
      <c r="F9" s="0" t="inlineStr">
        <is>
          <t xml:space="preserve">S1:17</t>
        </is>
      </c>
    </row>
    <row r="10" ht="27" customHeight="1">
      <c r="A10" s="3">
        <v>46269</v>
      </c>
      <c r="B10" s="0" t="inlineStr">
        <is>
          <t xml:space="preserve">POS DEBIT STARBUCKS #1042 RALEIGH NC 09/04</t>
        </is>
      </c>
      <c r="C10" s="2">
        <v>-4.62</v>
      </c>
      <c r="D10" s="0" t="inlineStr">
        <is>
          <t xml:space="preserve">Restaurants &amp; Coffee</t>
        </is>
      </c>
      <c r="E10" s="0" t="inlineStr">
        <is>
          <t xml:space="preserve"/>
        </is>
      </c>
      <c r="F10" s="0" t="inlineStr">
        <is>
          <t xml:space="preserve">S1:18</t>
        </is>
      </c>
    </row>
    <row r="11" ht="27" customHeight="1">
      <c r="A11" s="3">
        <v>46269</v>
      </c>
      <c r="B11" s="0" t="inlineStr">
        <is>
          <t xml:space="preserve">UBER *EATS</t>
        </is>
      </c>
      <c r="C11" s="2">
        <v>-30.31</v>
      </c>
      <c r="D11" s="0" t="inlineStr">
        <is>
          <t xml:space="preserve">Delivery &amp; Takeout</t>
        </is>
      </c>
      <c r="E11" s="0" t="inlineStr">
        <is>
          <t xml:space="preserve">delivery</t>
        </is>
      </c>
      <c r="F11" s="0" t="inlineStr">
        <is>
          <t xml:space="preserve">S1:19</t>
        </is>
      </c>
    </row>
    <row r="12" ht="27" customHeight="1">
      <c r="A12" s="3">
        <v>46269</v>
      </c>
      <c r="B12" s="0" t="inlineStr">
        <is>
          <t xml:space="preserve">POS DEBIT ALDI #0284 RALEIGH NC</t>
        </is>
      </c>
      <c r="C12" s="2">
        <v>-78.43</v>
      </c>
      <c r="D12" s="0" t="inlineStr">
        <is>
          <t xml:space="preserve">Groceries</t>
        </is>
      </c>
      <c r="E12" s="0" t="inlineStr">
        <is>
          <t xml:space="preserve"/>
        </is>
      </c>
      <c r="F12" s="0" t="inlineStr">
        <is>
          <t xml:space="preserve">S1:20</t>
        </is>
      </c>
    </row>
    <row r="13" ht="27" customHeight="1">
      <c r="A13" s="3">
        <v>46270</v>
      </c>
      <c r="B13" s="0" t="inlineStr">
        <is>
          <t xml:space="preserve">OAK COURT APTS RENT ACH</t>
        </is>
      </c>
      <c r="C13" s="2">
        <v>-975.00</v>
      </c>
      <c r="D13" s="0" t="inlineStr">
        <is>
          <t xml:space="preserve">Housing</t>
        </is>
      </c>
      <c r="E13" s="0" t="inlineStr">
        <is>
          <t xml:space="preserve"/>
        </is>
      </c>
      <c r="F13" s="0" t="inlineStr">
        <is>
          <t xml:space="preserve">S1:21</t>
        </is>
      </c>
    </row>
    <row r="14" ht="27" customHeight="1">
      <c r="A14" s="3">
        <v>46270</v>
      </c>
      <c r="B14" s="0" t="inlineStr">
        <is>
          <t xml:space="preserve">DOORDASH*WINGSTOP</t>
        </is>
      </c>
      <c r="C14" s="2">
        <v>-27.63</v>
      </c>
      <c r="D14" s="0" t="inlineStr">
        <is>
          <t xml:space="preserve">Delivery &amp; Takeout</t>
        </is>
      </c>
      <c r="E14" s="0" t="inlineStr">
        <is>
          <t xml:space="preserve">delivery</t>
        </is>
      </c>
      <c r="F14" s="0" t="inlineStr">
        <is>
          <t xml:space="preserve">S1:22</t>
        </is>
      </c>
    </row>
    <row r="15" ht="27" customHeight="1">
      <c r="A15" s="3">
        <v>46270</v>
      </c>
      <c r="B15" s="0" t="inlineStr">
        <is>
          <t xml:space="preserve">POS DEBIT SHELL #0328 RALEIGH NC</t>
        </is>
      </c>
      <c r="C15" s="2">
        <v>-36.17</v>
      </c>
      <c r="D15" s="0" t="inlineStr">
        <is>
          <t xml:space="preserve">Gas &amp; Transit</t>
        </is>
      </c>
      <c r="E15" s="0" t="inlineStr">
        <is>
          <t xml:space="preserve"/>
        </is>
      </c>
      <c r="F15" s="0" t="inlineStr">
        <is>
          <t xml:space="preserve">S1:23</t>
        </is>
      </c>
    </row>
    <row r="16" ht="27" customHeight="1">
      <c r="A16" s="3">
        <v>46271</v>
      </c>
      <c r="B16" s="0" t="inlineStr">
        <is>
          <t xml:space="preserve">VENMO CASHOUT ROOMMATE UTILITIES</t>
        </is>
      </c>
      <c r="C16" s="2">
        <v>60.00</v>
      </c>
      <c r="D16" s="0" t="inlineStr">
        <is>
          <t xml:space="preserve">Transfers</t>
        </is>
      </c>
      <c r="E16" s="0" t="inlineStr">
        <is>
          <t xml:space="preserve"/>
        </is>
      </c>
      <c r="F16" s="0" t="inlineStr">
        <is>
          <t xml:space="preserve">S1:24</t>
        </is>
      </c>
    </row>
    <row r="17" ht="27" customHeight="1">
      <c r="A17" s="3">
        <v>46271</v>
      </c>
      <c r="B17" s="0" t="inlineStr">
        <is>
          <t xml:space="preserve">SPOTIFY USA</t>
        </is>
      </c>
      <c r="C17" s="2">
        <v>-12.99</v>
      </c>
      <c r="D17" s="0" t="inlineStr">
        <is>
          <t xml:space="preserve">Subscriptions</t>
        </is>
      </c>
      <c r="E17" s="0" t="inlineStr">
        <is>
          <t xml:space="preserve">subscription</t>
        </is>
      </c>
      <c r="F17" s="0" t="inlineStr">
        <is>
          <t xml:space="preserve">S1:25</t>
        </is>
      </c>
    </row>
    <row r="18" ht="27" customHeight="1">
      <c r="A18" s="3">
        <v>46271</v>
      </c>
      <c r="B18" s="0" t="inlineStr">
        <is>
          <t xml:space="preserve">UBER *EATS</t>
        </is>
      </c>
      <c r="C18" s="2">
        <v>-35.12</v>
      </c>
      <c r="D18" s="0" t="inlineStr">
        <is>
          <t xml:space="preserve">Delivery &amp; Takeout</t>
        </is>
      </c>
      <c r="E18" s="0" t="inlineStr">
        <is>
          <t xml:space="preserve">delivery</t>
        </is>
      </c>
      <c r="F18" s="0" t="inlineStr">
        <is>
          <t xml:space="preserve">S1:26</t>
        </is>
      </c>
    </row>
    <row r="19" ht="27" customHeight="1">
      <c r="A19" s="3">
        <v>46271</v>
      </c>
      <c r="B19" s="0" t="inlineStr">
        <is>
          <t xml:space="preserve">AMZN MKTP US*Q06X</t>
        </is>
      </c>
      <c r="C19" s="2">
        <v>-42.18</v>
      </c>
      <c r="D19" s="0" t="inlineStr">
        <is>
          <t xml:space="preserve">Shopping</t>
        </is>
      </c>
      <c r="E19" s="0" t="inlineStr">
        <is>
          <t xml:space="preserve"/>
        </is>
      </c>
      <c r="F19" s="0" t="inlineStr">
        <is>
          <t xml:space="preserve">S1:27</t>
        </is>
      </c>
    </row>
    <row r="20" ht="27" customHeight="1">
      <c r="A20" s="3">
        <v>46272</v>
      </c>
      <c r="B20" s="0" t="inlineStr">
        <is>
          <t xml:space="preserve">GOOGLE *YOUTUBE PREMIUM</t>
        </is>
      </c>
      <c r="C20" s="2">
        <v>-15.99</v>
      </c>
      <c r="D20" s="0" t="inlineStr">
        <is>
          <t xml:space="preserve">Subscriptions</t>
        </is>
      </c>
      <c r="E20" s="0" t="inlineStr">
        <is>
          <t xml:space="preserve">subscription</t>
        </is>
      </c>
      <c r="F20" s="0" t="inlineStr">
        <is>
          <t xml:space="preserve">S1:28</t>
        </is>
      </c>
    </row>
    <row r="21" ht="27" customHeight="1">
      <c r="A21" s="3">
        <v>46272</v>
      </c>
      <c r="B21" s="0" t="inlineStr">
        <is>
          <t xml:space="preserve">POS DEBIT STARBUCKS #1042 RALEIGH NC 09/07</t>
        </is>
      </c>
      <c r="C21" s="2">
        <v>-4.71</v>
      </c>
      <c r="D21" s="0" t="inlineStr">
        <is>
          <t xml:space="preserve">Restaurants &amp; Coffee</t>
        </is>
      </c>
      <c r="E21" s="0" t="inlineStr">
        <is>
          <t xml:space="preserve"/>
        </is>
      </c>
      <c r="F21" s="0" t="inlineStr">
        <is>
          <t xml:space="preserve">S1:29</t>
        </is>
      </c>
    </row>
    <row r="22" ht="27" customHeight="1">
      <c r="A22" s="3">
        <v>46273</v>
      </c>
      <c r="B22" s="0" t="inlineStr">
        <is>
          <t xml:space="preserve">POS DEBIT STARBUCKS #1042 RALEIGH NC 09/08</t>
        </is>
      </c>
      <c r="C22" s="2">
        <v>-4.74</v>
      </c>
      <c r="D22" s="0" t="inlineStr">
        <is>
          <t xml:space="preserve">Restaurants &amp; Coffee</t>
        </is>
      </c>
      <c r="E22" s="0" t="inlineStr">
        <is>
          <t xml:space="preserve"/>
        </is>
      </c>
      <c r="F22" s="0" t="inlineStr">
        <is>
          <t xml:space="preserve">S1:30</t>
        </is>
      </c>
    </row>
    <row r="23" ht="27" customHeight="1">
      <c r="A23" s="3">
        <v>46273</v>
      </c>
      <c r="B23" s="0" t="inlineStr">
        <is>
          <t xml:space="preserve">DOORDASH*CAVA</t>
        </is>
      </c>
      <c r="C23" s="2">
        <v>-35.32</v>
      </c>
      <c r="D23" s="0" t="inlineStr">
        <is>
          <t xml:space="preserve">Delivery &amp; Takeout</t>
        </is>
      </c>
      <c r="E23" s="0" t="inlineStr">
        <is>
          <t xml:space="preserve">delivery</t>
        </is>
      </c>
      <c r="F23" s="0" t="inlineStr">
        <is>
          <t xml:space="preserve">S1:31</t>
        </is>
      </c>
    </row>
    <row r="24" ht="27" customHeight="1">
      <c r="A24" s="3">
        <v>46274</v>
      </c>
      <c r="B24" s="0" t="inlineStr">
        <is>
          <t xml:space="preserve">POS DEBIT STARBUCKS #1042 RALEIGH NC 09/09</t>
        </is>
      </c>
      <c r="C24" s="2">
        <v>-4.77</v>
      </c>
      <c r="D24" s="0" t="inlineStr">
        <is>
          <t xml:space="preserve">Restaurants &amp; Coffee</t>
        </is>
      </c>
      <c r="E24" s="0" t="inlineStr">
        <is>
          <t xml:space="preserve"/>
        </is>
      </c>
      <c r="F24" s="0" t="inlineStr">
        <is>
          <t xml:space="preserve">S1:32</t>
        </is>
      </c>
    </row>
    <row r="25" ht="27" customHeight="1">
      <c r="A25" s="3">
        <v>46274</v>
      </c>
      <c r="B25" s="0" t="inlineStr">
        <is>
          <t xml:space="preserve">POS DEBIT FOOD LION #0284 RALEIGH NC</t>
        </is>
      </c>
      <c r="C25" s="2">
        <v>-62.18</v>
      </c>
      <c r="D25" s="0" t="inlineStr">
        <is>
          <t xml:space="preserve">Groceries</t>
        </is>
      </c>
      <c r="E25" s="0" t="inlineStr">
        <is>
          <t xml:space="preserve"/>
        </is>
      </c>
      <c r="F25" s="0" t="inlineStr">
        <is>
          <t xml:space="preserve">S1:33</t>
        </is>
      </c>
    </row>
    <row r="26" ht="27" customHeight="1">
      <c r="A26" s="3">
        <v>46275</v>
      </c>
      <c r="B26" s="0" t="inlineStr">
        <is>
          <t xml:space="preserve">POS DEBIT STARBUCKS #1042 RALEIGH NC 09/10</t>
        </is>
      </c>
      <c r="C26" s="2">
        <v>-4.80</v>
      </c>
      <c r="D26" s="0" t="inlineStr">
        <is>
          <t xml:space="preserve">Restaurants &amp; Coffee</t>
        </is>
      </c>
      <c r="E26" s="0" t="inlineStr">
        <is>
          <t xml:space="preserve"/>
        </is>
      </c>
      <c r="F26" s="0" t="inlineStr">
        <is>
          <t xml:space="preserve">S1:34</t>
        </is>
      </c>
    </row>
    <row r="27" ht="27" customHeight="1">
      <c r="A27" s="3">
        <v>46275</v>
      </c>
      <c r="B27" s="0" t="inlineStr">
        <is>
          <t xml:space="preserve">UBER *EATS</t>
        </is>
      </c>
      <c r="C27" s="2">
        <v>-29.35</v>
      </c>
      <c r="D27" s="0" t="inlineStr">
        <is>
          <t xml:space="preserve">Delivery &amp; Takeout</t>
        </is>
      </c>
      <c r="E27" s="0" t="inlineStr">
        <is>
          <t xml:space="preserve">delivery</t>
        </is>
      </c>
      <c r="F27" s="0" t="inlineStr">
        <is>
          <t xml:space="preserve">S1:35</t>
        </is>
      </c>
    </row>
    <row r="28" ht="27" customHeight="1">
      <c r="A28" s="3">
        <v>46276</v>
      </c>
      <c r="B28" s="0" t="inlineStr">
        <is>
          <t xml:space="preserve">APPLE.COM/BILL</t>
        </is>
      </c>
      <c r="C28" s="2">
        <v>-2.99</v>
      </c>
      <c r="D28" s="0" t="inlineStr">
        <is>
          <t xml:space="preserve">Subscriptions</t>
        </is>
      </c>
      <c r="E28" s="0" t="inlineStr">
        <is>
          <t xml:space="preserve">subscription</t>
        </is>
      </c>
      <c r="F28" s="0" t="inlineStr">
        <is>
          <t xml:space="preserve">S1:36</t>
        </is>
      </c>
    </row>
    <row r="29" ht="27" customHeight="1">
      <c r="A29" s="3">
        <v>46276</v>
      </c>
      <c r="B29" s="0" t="inlineStr">
        <is>
          <t xml:space="preserve">POS DEBIT STARBUCKS #1042 RALEIGH NC 09/11</t>
        </is>
      </c>
      <c r="C29" s="2">
        <v>-4.83</v>
      </c>
      <c r="D29" s="0" t="inlineStr">
        <is>
          <t xml:space="preserve">Restaurants &amp; Coffee</t>
        </is>
      </c>
      <c r="E29" s="0" t="inlineStr">
        <is>
          <t xml:space="preserve"/>
        </is>
      </c>
      <c r="F29" s="0" t="inlineStr">
        <is>
          <t xml:space="preserve">S1:37</t>
        </is>
      </c>
    </row>
    <row r="30" ht="27" customHeight="1">
      <c r="A30" s="3">
        <v>46276</v>
      </c>
      <c r="B30" s="0" t="inlineStr">
        <is>
          <t xml:space="preserve">DOORDASH*CHIPOTLE</t>
        </is>
      </c>
      <c r="C30" s="2">
        <v>-28.10</v>
      </c>
      <c r="D30" s="0" t="inlineStr">
        <is>
          <t xml:space="preserve">Delivery &amp; Takeout</t>
        </is>
      </c>
      <c r="E30" s="0" t="inlineStr">
        <is>
          <t xml:space="preserve">delivery</t>
        </is>
      </c>
      <c r="F30" s="0" t="inlineStr">
        <is>
          <t xml:space="preserve">S1:38</t>
        </is>
      </c>
    </row>
    <row r="31" ht="27" customHeight="1">
      <c r="A31" s="3">
        <v>46276</v>
      </c>
      <c r="B31" s="0" t="inlineStr">
        <is>
          <t xml:space="preserve">AMZN MKTP US*Q11X</t>
        </is>
      </c>
      <c r="C31" s="2">
        <v>-67.49</v>
      </c>
      <c r="D31" s="0" t="inlineStr">
        <is>
          <t xml:space="preserve">Shopping</t>
        </is>
      </c>
      <c r="E31" s="0" t="inlineStr">
        <is>
          <t xml:space="preserve"/>
        </is>
      </c>
      <c r="F31" s="0" t="inlineStr">
        <is>
          <t xml:space="preserve">S1:39</t>
        </is>
      </c>
    </row>
    <row r="32" ht="27" customHeight="1">
      <c r="A32" s="3">
        <v>46277</v>
      </c>
      <c r="B32" s="0" t="inlineStr">
        <is>
          <t xml:space="preserve">TST* NOODLE HOUSE RALEIGH NC</t>
        </is>
      </c>
      <c r="C32" s="2">
        <v>-26.81</v>
      </c>
      <c r="D32" s="0" t="inlineStr">
        <is>
          <t xml:space="preserve">Restaurants &amp; Coffee</t>
        </is>
      </c>
      <c r="E32" s="0" t="inlineStr">
        <is>
          <t xml:space="preserve"/>
        </is>
      </c>
      <c r="F32" s="0" t="inlineStr">
        <is>
          <t xml:space="preserve">S1:40</t>
        </is>
      </c>
    </row>
    <row r="33" ht="27" customHeight="1">
      <c r="A33" s="3">
        <v>46277</v>
      </c>
      <c r="B33" s="0" t="inlineStr">
        <is>
          <t xml:space="preserve">ATM CASH WITHDRAWAL RALEIGH NC</t>
        </is>
      </c>
      <c r="C33" s="2">
        <v>-40.00</v>
      </c>
      <c r="D33" s="0" t="inlineStr">
        <is>
          <t xml:space="preserve">Cash &amp; ATM</t>
        </is>
      </c>
      <c r="E33" s="0" t="inlineStr">
        <is>
          <t xml:space="preserve"/>
        </is>
      </c>
      <c r="F33" s="0" t="inlineStr">
        <is>
          <t xml:space="preserve">S1:41</t>
        </is>
      </c>
    </row>
    <row r="34" ht="27" customHeight="1">
      <c r="A34" s="3">
        <v>46277</v>
      </c>
      <c r="B34" s="0" t="inlineStr">
        <is>
          <t xml:space="preserve">NON-NETWORK ATM FEE</t>
        </is>
      </c>
      <c r="C34" s="2">
        <v>-3.00</v>
      </c>
      <c r="D34" s="0" t="inlineStr">
        <is>
          <t xml:space="preserve">Bank Fees &amp; Interest</t>
        </is>
      </c>
      <c r="E34" s="0" t="inlineStr">
        <is>
          <t xml:space="preserve">fee</t>
        </is>
      </c>
      <c r="F34" s="0" t="inlineStr">
        <is>
          <t xml:space="preserve">S1:42</t>
        </is>
      </c>
    </row>
    <row r="35" ht="27" customHeight="1">
      <c r="A35" s="3">
        <v>46277</v>
      </c>
      <c r="B35" s="0" t="inlineStr">
        <is>
          <t xml:space="preserve">ATM OPERATOR FEE</t>
        </is>
      </c>
      <c r="C35" s="2">
        <v>-3.50</v>
      </c>
      <c r="D35" s="0" t="inlineStr">
        <is>
          <t xml:space="preserve">Bank Fees &amp; Interest</t>
        </is>
      </c>
      <c r="E35" s="0" t="inlineStr">
        <is>
          <t xml:space="preserve">fee</t>
        </is>
      </c>
      <c r="F35" s="0" t="inlineStr">
        <is>
          <t xml:space="preserve">S1:43</t>
        </is>
      </c>
    </row>
    <row r="36" ht="27" customHeight="1">
      <c r="A36" s="3">
        <v>46278</v>
      </c>
      <c r="B36" s="0" t="inlineStr">
        <is>
          <t xml:space="preserve">AMAZON PRIME</t>
        </is>
      </c>
      <c r="C36" s="2">
        <v>-14.99</v>
      </c>
      <c r="D36" s="0" t="inlineStr">
        <is>
          <t xml:space="preserve">Subscriptions</t>
        </is>
      </c>
      <c r="E36" s="0" t="inlineStr">
        <is>
          <t xml:space="preserve">subscription</t>
        </is>
      </c>
      <c r="F36" s="0" t="inlineStr">
        <is>
          <t xml:space="preserve">S1:44</t>
        </is>
      </c>
    </row>
    <row r="37" ht="27" customHeight="1">
      <c r="A37" s="3">
        <v>46278</v>
      </c>
      <c r="B37" s="0" t="inlineStr">
        <is>
          <t xml:space="preserve">UBER *EATS</t>
        </is>
      </c>
      <c r="C37" s="2">
        <v>-29.67</v>
      </c>
      <c r="D37" s="0" t="inlineStr">
        <is>
          <t xml:space="preserve">Delivery &amp; Takeout</t>
        </is>
      </c>
      <c r="E37" s="0" t="inlineStr">
        <is>
          <t xml:space="preserve">delivery</t>
        </is>
      </c>
      <c r="F37" s="0" t="inlineStr">
        <is>
          <t xml:space="preserve">S1:45</t>
        </is>
      </c>
    </row>
    <row r="38" ht="27" customHeight="1">
      <c r="A38" s="3">
        <v>46279</v>
      </c>
      <c r="B38" s="0" t="inlineStr">
        <is>
          <t xml:space="preserve">PLANET FITNESS</t>
        </is>
      </c>
      <c r="C38" s="2">
        <v>-15.00</v>
      </c>
      <c r="D38" s="0" t="inlineStr">
        <is>
          <t xml:space="preserve">Health &amp; Fitness</t>
        </is>
      </c>
      <c r="E38" s="0" t="inlineStr">
        <is>
          <t xml:space="preserve">subscription</t>
        </is>
      </c>
      <c r="F38" s="0" t="inlineStr">
        <is>
          <t xml:space="preserve">S1:46</t>
        </is>
      </c>
    </row>
    <row r="39" ht="27" customHeight="1">
      <c r="A39" s="3">
        <v>46279</v>
      </c>
      <c r="B39" s="0" t="inlineStr">
        <is>
          <t xml:space="preserve">POS DEBIT STARBUCKS #1042 RALEIGH NC 09/14</t>
        </is>
      </c>
      <c r="C39" s="2">
        <v>-4.92</v>
      </c>
      <c r="D39" s="0" t="inlineStr">
        <is>
          <t xml:space="preserve">Restaurants &amp; Coffee</t>
        </is>
      </c>
      <c r="E39" s="0" t="inlineStr">
        <is>
          <t xml:space="preserve"/>
        </is>
      </c>
      <c r="F39" s="0" t="inlineStr">
        <is>
          <t xml:space="preserve">S1:47</t>
        </is>
      </c>
    </row>
    <row r="40" ht="27" customHeight="1">
      <c r="A40" s="3">
        <v>46279</v>
      </c>
      <c r="B40" s="0" t="inlineStr">
        <is>
          <t xml:space="preserve">POS DEBIT TRADER JOES #0284 RALEIGH NC</t>
        </is>
      </c>
      <c r="C40" s="2">
        <v>-54.72</v>
      </c>
      <c r="D40" s="0" t="inlineStr">
        <is>
          <t xml:space="preserve">Groceries</t>
        </is>
      </c>
      <c r="E40" s="0" t="inlineStr">
        <is>
          <t xml:space="preserve"/>
        </is>
      </c>
      <c r="F40" s="0" t="inlineStr">
        <is>
          <t xml:space="preserve">S1:48</t>
        </is>
      </c>
    </row>
    <row r="41" ht="27" customHeight="1">
      <c r="A41" s="3">
        <v>46279</v>
      </c>
      <c r="B41" s="0" t="inlineStr">
        <is>
          <t xml:space="preserve">MOVIE THEATER</t>
        </is>
      </c>
      <c r="C41" s="2">
        <v>-19.50</v>
      </c>
      <c r="D41" s="0" t="inlineStr">
        <is>
          <t xml:space="preserve">Entertainment</t>
        </is>
      </c>
      <c r="E41" s="0" t="inlineStr">
        <is>
          <t xml:space="preserve"/>
        </is>
      </c>
      <c r="F41" s="0" t="inlineStr">
        <is>
          <t xml:space="preserve">S1:49</t>
        </is>
      </c>
    </row>
    <row r="42" ht="27" customHeight="1">
      <c r="A42" s="3">
        <v>46280</v>
      </c>
      <c r="B42" s="0" t="inlineStr">
        <is>
          <t xml:space="preserve">DOORDASH DASHPASS</t>
        </is>
      </c>
      <c r="C42" s="2">
        <v>-9.99</v>
      </c>
      <c r="D42" s="0" t="inlineStr">
        <is>
          <t xml:space="preserve">Subscriptions</t>
        </is>
      </c>
      <c r="E42" s="0" t="inlineStr">
        <is>
          <t xml:space="preserve">subscription</t>
        </is>
      </c>
      <c r="F42" s="0" t="inlineStr">
        <is>
          <t xml:space="preserve">S1:50</t>
        </is>
      </c>
    </row>
    <row r="43" ht="27" customHeight="1">
      <c r="A43" s="3">
        <v>46280</v>
      </c>
      <c r="B43" s="0" t="inlineStr">
        <is>
          <t xml:space="preserve">POS DEBIT STARBUCKS #1042 RALEIGH NC 09/15</t>
        </is>
      </c>
      <c r="C43" s="2">
        <v>-4.95</v>
      </c>
      <c r="D43" s="0" t="inlineStr">
        <is>
          <t xml:space="preserve">Restaurants &amp; Coffee</t>
        </is>
      </c>
      <c r="E43" s="0" t="inlineStr">
        <is>
          <t xml:space="preserve"/>
        </is>
      </c>
      <c r="F43" s="0" t="inlineStr">
        <is>
          <t xml:space="preserve">S1:51</t>
        </is>
      </c>
    </row>
    <row r="44" ht="27" customHeight="1">
      <c r="A44" s="3">
        <v>46280</v>
      </c>
      <c r="B44" s="0" t="inlineStr">
        <is>
          <t xml:space="preserve">DOORDASH*WINGSTOP</t>
        </is>
      </c>
      <c r="C44" s="2">
        <v>-28.72</v>
      </c>
      <c r="D44" s="0" t="inlineStr">
        <is>
          <t xml:space="preserve">Delivery &amp; Takeout</t>
        </is>
      </c>
      <c r="E44" s="0" t="inlineStr">
        <is>
          <t xml:space="preserve">delivery</t>
        </is>
      </c>
      <c r="F44" s="0" t="inlineStr">
        <is>
          <t xml:space="preserve">S1:52</t>
        </is>
      </c>
    </row>
    <row r="45" ht="27" customHeight="1">
      <c r="A45" s="3">
        <v>46281</v>
      </c>
      <c r="B45" s="0" t="inlineStr">
        <is>
          <t xml:space="preserve">UBER ONE</t>
        </is>
      </c>
      <c r="C45" s="2">
        <v>-9.99</v>
      </c>
      <c r="D45" s="0" t="inlineStr">
        <is>
          <t xml:space="preserve">Subscriptions</t>
        </is>
      </c>
      <c r="E45" s="0" t="inlineStr">
        <is>
          <t xml:space="preserve">subscription</t>
        </is>
      </c>
      <c r="F45" s="0" t="inlineStr">
        <is>
          <t xml:space="preserve">S1:53</t>
        </is>
      </c>
    </row>
    <row r="46" ht="27" customHeight="1">
      <c r="A46" s="3">
        <v>46281</v>
      </c>
      <c r="B46" s="0" t="inlineStr">
        <is>
          <t xml:space="preserve">POS DEBIT STARBUCKS #1042 RALEIGH NC 09/16</t>
        </is>
      </c>
      <c r="C46" s="2">
        <v>-4.98</v>
      </c>
      <c r="D46" s="0" t="inlineStr">
        <is>
          <t xml:space="preserve">Restaurants &amp; Coffee</t>
        </is>
      </c>
      <c r="E46" s="0" t="inlineStr">
        <is>
          <t xml:space="preserve"/>
        </is>
      </c>
      <c r="F46" s="0" t="inlineStr">
        <is>
          <t xml:space="preserve">S1:54</t>
        </is>
      </c>
    </row>
    <row r="47" ht="27" customHeight="1">
      <c r="A47" s="3">
        <v>46281</v>
      </c>
      <c r="B47" s="0" t="inlineStr">
        <is>
          <t xml:space="preserve">UBER *EATS</t>
        </is>
      </c>
      <c r="C47" s="2">
        <v>-40.07</v>
      </c>
      <c r="D47" s="0" t="inlineStr">
        <is>
          <t xml:space="preserve">Delivery &amp; Takeout</t>
        </is>
      </c>
      <c r="E47" s="0" t="inlineStr">
        <is>
          <t xml:space="preserve">delivery</t>
        </is>
      </c>
      <c r="F47" s="0" t="inlineStr">
        <is>
          <t xml:space="preserve">S1:55</t>
        </is>
      </c>
    </row>
    <row r="48" ht="27" customHeight="1">
      <c r="A48" s="3">
        <v>46281</v>
      </c>
      <c r="B48" s="0" t="inlineStr">
        <is>
          <t xml:space="preserve">POS DEBIT SHELL #0328 RALEIGH NC</t>
        </is>
      </c>
      <c r="C48" s="2">
        <v>-39.42</v>
      </c>
      <c r="D48" s="0" t="inlineStr">
        <is>
          <t xml:space="preserve">Gas &amp; Transit</t>
        </is>
      </c>
      <c r="E48" s="0" t="inlineStr">
        <is>
          <t xml:space="preserve"/>
        </is>
      </c>
      <c r="F48" s="0" t="inlineStr">
        <is>
          <t xml:space="preserve">S1:56</t>
        </is>
      </c>
    </row>
    <row r="49" ht="27" customHeight="1">
      <c r="A49" s="3">
        <v>46282</v>
      </c>
      <c r="B49" s="0" t="inlineStr">
        <is>
          <t xml:space="preserve">AUDIBLE MEMBERSHIP</t>
        </is>
      </c>
      <c r="C49" s="2">
        <v>-14.95</v>
      </c>
      <c r="D49" s="0" t="inlineStr">
        <is>
          <t xml:space="preserve">Subscriptions</t>
        </is>
      </c>
      <c r="E49" s="0" t="inlineStr">
        <is>
          <t xml:space="preserve">subscription</t>
        </is>
      </c>
      <c r="F49" s="0" t="inlineStr">
        <is>
          <t xml:space="preserve">S1:57</t>
        </is>
      </c>
    </row>
    <row r="50" ht="27" customHeight="1">
      <c r="A50" s="3">
        <v>46282</v>
      </c>
      <c r="B50" s="0" t="inlineStr">
        <is>
          <t xml:space="preserve">POS DEBIT STARBUCKS #1042 RALEIGH NC 09/17</t>
        </is>
      </c>
      <c r="C50" s="2">
        <v>-5.01</v>
      </c>
      <c r="D50" s="0" t="inlineStr">
        <is>
          <t xml:space="preserve">Restaurants &amp; Coffee</t>
        </is>
      </c>
      <c r="E50" s="0" t="inlineStr">
        <is>
          <t xml:space="preserve"/>
        </is>
      </c>
      <c r="F50" s="0" t="inlineStr">
        <is>
          <t xml:space="preserve">S1:58</t>
        </is>
      </c>
    </row>
    <row r="51" ht="27" customHeight="1">
      <c r="A51" s="3">
        <v>46282</v>
      </c>
      <c r="B51" s="0" t="inlineStr">
        <is>
          <t xml:space="preserve">AMZN MKTP US*Q17X</t>
        </is>
      </c>
      <c r="C51" s="2">
        <v>-23.99</v>
      </c>
      <c r="D51" s="0" t="inlineStr">
        <is>
          <t xml:space="preserve">Shopping</t>
        </is>
      </c>
      <c r="E51" s="0" t="inlineStr">
        <is>
          <t xml:space="preserve"/>
        </is>
      </c>
      <c r="F51" s="0" t="inlineStr">
        <is>
          <t xml:space="preserve">S1:59</t>
        </is>
      </c>
    </row>
    <row r="52" ht="27" customHeight="1">
      <c r="A52" s="3">
        <v>46283</v>
      </c>
      <c r="B52" s="0" t="inlineStr">
        <is>
          <t xml:space="preserve">CEDAR LANE DESIGN PAYROLL DIRECT DEP</t>
        </is>
      </c>
      <c r="C52" s="2">
        <v>1640.00</v>
      </c>
      <c r="D52" s="0" t="inlineStr">
        <is>
          <t xml:space="preserve">Income</t>
        </is>
      </c>
      <c r="E52" s="0" t="inlineStr">
        <is>
          <t xml:space="preserve"/>
        </is>
      </c>
      <c r="F52" s="0" t="inlineStr">
        <is>
          <t xml:space="preserve">S1:60</t>
        </is>
      </c>
    </row>
    <row r="53" ht="27" customHeight="1">
      <c r="A53" s="3">
        <v>46283</v>
      </c>
      <c r="B53" s="0" t="inlineStr">
        <is>
          <t xml:space="preserve">POS DEBIT STARBUCKS #1042 RALEIGH NC 09/18</t>
        </is>
      </c>
      <c r="C53" s="2">
        <v>-5.04</v>
      </c>
      <c r="D53" s="0" t="inlineStr">
        <is>
          <t xml:space="preserve">Restaurants &amp; Coffee</t>
        </is>
      </c>
      <c r="E53" s="0" t="inlineStr">
        <is>
          <t xml:space="preserve"/>
        </is>
      </c>
      <c r="F53" s="0" t="inlineStr">
        <is>
          <t xml:space="preserve">S1:61</t>
        </is>
      </c>
    </row>
    <row r="54" ht="27" customHeight="1">
      <c r="A54" s="3">
        <v>46283</v>
      </c>
      <c r="B54" s="0" t="inlineStr">
        <is>
          <t xml:space="preserve">DOORDASH*CAVA</t>
        </is>
      </c>
      <c r="C54" s="2">
        <v>-41.77</v>
      </c>
      <c r="D54" s="0" t="inlineStr">
        <is>
          <t xml:space="preserve">Delivery &amp; Takeout</t>
        </is>
      </c>
      <c r="E54" s="0" t="inlineStr">
        <is>
          <t xml:space="preserve">delivery</t>
        </is>
      </c>
      <c r="F54" s="0" t="inlineStr">
        <is>
          <t xml:space="preserve">S1:62</t>
        </is>
      </c>
    </row>
    <row r="55" ht="27" customHeight="1">
      <c r="A55" s="3">
        <v>46283</v>
      </c>
      <c r="B55" s="0" t="inlineStr">
        <is>
          <t xml:space="preserve">POS DEBIT ALDI #0284 RALEIGH NC</t>
        </is>
      </c>
      <c r="C55" s="2">
        <v>-84.16</v>
      </c>
      <c r="D55" s="0" t="inlineStr">
        <is>
          <t xml:space="preserve">Groceries</t>
        </is>
      </c>
      <c r="E55" s="0" t="inlineStr">
        <is>
          <t xml:space="preserve"/>
        </is>
      </c>
      <c r="F55" s="0" t="inlineStr">
        <is>
          <t xml:space="preserve">S1:63</t>
        </is>
      </c>
    </row>
    <row r="56" ht="27" customHeight="1">
      <c r="A56" s="3">
        <v>46283</v>
      </c>
      <c r="B56" s="0" t="inlineStr">
        <is>
          <t xml:space="preserve">TARGET #1182 RALEIGH NC</t>
        </is>
      </c>
      <c r="C56" s="2">
        <v>-28.74</v>
      </c>
      <c r="D56" s="0" t="inlineStr">
        <is>
          <t xml:space="preserve">Shopping</t>
        </is>
      </c>
      <c r="E56" s="0" t="inlineStr">
        <is>
          <t xml:space="preserve">possible double charge</t>
        </is>
      </c>
      <c r="F56" s="0" t="inlineStr">
        <is>
          <t xml:space="preserve">S1:64</t>
        </is>
      </c>
    </row>
    <row r="57" ht="27" customHeight="1">
      <c r="A57" s="3">
        <v>46283</v>
      </c>
      <c r="B57" s="0" t="inlineStr">
        <is>
          <t xml:space="preserve">TARGET #1182 RALEIGH NC</t>
        </is>
      </c>
      <c r="C57" s="2">
        <v>-28.74</v>
      </c>
      <c r="D57" s="0" t="inlineStr">
        <is>
          <t xml:space="preserve">Shopping</t>
        </is>
      </c>
      <c r="E57" s="0" t="inlineStr">
        <is>
          <t xml:space="preserve">possible double charge</t>
        </is>
      </c>
      <c r="F57" s="0" t="inlineStr">
        <is>
          <t xml:space="preserve">S1:65</t>
        </is>
      </c>
    </row>
    <row r="58" ht="27" customHeight="1">
      <c r="A58" s="3">
        <v>46284</v>
      </c>
      <c r="B58" s="0" t="inlineStr">
        <is>
          <t xml:space="preserve">STUDENT LOAN ACH</t>
        </is>
      </c>
      <c r="C58" s="2">
        <v>-125.00</v>
      </c>
      <c r="D58" s="0" t="inlineStr">
        <is>
          <t xml:space="preserve">Debt Payments</t>
        </is>
      </c>
      <c r="E58" s="0" t="inlineStr">
        <is>
          <t xml:space="preserve"/>
        </is>
      </c>
      <c r="F58" s="0" t="inlineStr">
        <is>
          <t xml:space="preserve">S1:66</t>
        </is>
      </c>
    </row>
    <row r="59" ht="27" customHeight="1">
      <c r="A59" s="3">
        <v>46285</v>
      </c>
      <c r="B59" s="0" t="inlineStr">
        <is>
          <t xml:space="preserve">AUTO LOAN PAYMENT</t>
        </is>
      </c>
      <c r="C59" s="2">
        <v>-259.00</v>
      </c>
      <c r="D59" s="0" t="inlineStr">
        <is>
          <t xml:space="preserve">Car Payment</t>
        </is>
      </c>
      <c r="E59" s="0" t="inlineStr">
        <is>
          <t xml:space="preserve"/>
        </is>
      </c>
      <c r="F59" s="0" t="inlineStr">
        <is>
          <t xml:space="preserve">S1:67</t>
        </is>
      </c>
    </row>
    <row r="60" ht="27" customHeight="1">
      <c r="A60" s="3">
        <v>46285</v>
      </c>
      <c r="B60" s="0" t="inlineStr">
        <is>
          <t xml:space="preserve">OPENAI *CHATGPT PLUS</t>
        </is>
      </c>
      <c r="C60" s="2">
        <v>-20.00</v>
      </c>
      <c r="D60" s="0" t="inlineStr">
        <is>
          <t xml:space="preserve">Subscriptions</t>
        </is>
      </c>
      <c r="E60" s="0" t="inlineStr">
        <is>
          <t xml:space="preserve">subscription</t>
        </is>
      </c>
      <c r="F60" s="0" t="inlineStr">
        <is>
          <t xml:space="preserve">S1:68</t>
        </is>
      </c>
    </row>
    <row r="61" ht="27" customHeight="1">
      <c r="A61" s="3">
        <v>46285</v>
      </c>
      <c r="B61" s="0" t="inlineStr">
        <is>
          <t xml:space="preserve">UBER *EATS</t>
        </is>
      </c>
      <c r="C61" s="2">
        <v>-31.66</v>
      </c>
      <c r="D61" s="0" t="inlineStr">
        <is>
          <t xml:space="preserve">Delivery &amp; Takeout</t>
        </is>
      </c>
      <c r="E61" s="0" t="inlineStr">
        <is>
          <t xml:space="preserve">delivery</t>
        </is>
      </c>
      <c r="F61" s="0" t="inlineStr">
        <is>
          <t xml:space="preserve">S1:69</t>
        </is>
      </c>
    </row>
    <row r="62" ht="27" customHeight="1">
      <c r="A62" s="3">
        <v>46285</v>
      </c>
      <c r="B62" s="0" t="inlineStr">
        <is>
          <t xml:space="preserve">UBER *TRIP</t>
        </is>
      </c>
      <c r="C62" s="2">
        <v>-18.90</v>
      </c>
      <c r="D62" s="0" t="inlineStr">
        <is>
          <t xml:space="preserve">Rideshare</t>
        </is>
      </c>
      <c r="E62" s="0" t="inlineStr">
        <is>
          <t xml:space="preserve"/>
        </is>
      </c>
      <c r="F62" s="0" t="inlineStr">
        <is>
          <t xml:space="preserve">S1:70</t>
        </is>
      </c>
    </row>
    <row r="63" ht="27" customHeight="1">
      <c r="A63" s="3">
        <v>46286</v>
      </c>
      <c r="B63" s="0" t="inlineStr">
        <is>
          <t xml:space="preserve">AUTO INSURANCE ACH</t>
        </is>
      </c>
      <c r="C63" s="2">
        <v>-123.45</v>
      </c>
      <c r="D63" s="0" t="inlineStr">
        <is>
          <t xml:space="preserve">Insurance</t>
        </is>
      </c>
      <c r="E63" s="0" t="inlineStr">
        <is>
          <t xml:space="preserve"/>
        </is>
      </c>
      <c r="F63" s="0" t="inlineStr">
        <is>
          <t xml:space="preserve">S1:71</t>
        </is>
      </c>
    </row>
    <row r="64" ht="27" customHeight="1">
      <c r="A64" s="3">
        <v>46286</v>
      </c>
      <c r="B64" s="0" t="inlineStr">
        <is>
          <t xml:space="preserve">POS DEBIT STARBUCKS #1042 RALEIGH NC 09/21</t>
        </is>
      </c>
      <c r="C64" s="2">
        <v>-5.13</v>
      </c>
      <c r="D64" s="0" t="inlineStr">
        <is>
          <t xml:space="preserve">Restaurants &amp; Coffee</t>
        </is>
      </c>
      <c r="E64" s="0" t="inlineStr">
        <is>
          <t xml:space="preserve"/>
        </is>
      </c>
      <c r="F64" s="0" t="inlineStr">
        <is>
          <t xml:space="preserve">S1:72</t>
        </is>
      </c>
    </row>
    <row r="65" ht="27" customHeight="1">
      <c r="A65" s="3">
        <v>46286</v>
      </c>
      <c r="B65" s="0" t="inlineStr">
        <is>
          <t xml:space="preserve">DOORDASH*CHIPOTLE</t>
        </is>
      </c>
      <c r="C65" s="2">
        <v>-39.89</v>
      </c>
      <c r="D65" s="0" t="inlineStr">
        <is>
          <t xml:space="preserve">Delivery &amp; Takeout</t>
        </is>
      </c>
      <c r="E65" s="0" t="inlineStr">
        <is>
          <t xml:space="preserve">delivery</t>
        </is>
      </c>
      <c r="F65" s="0" t="inlineStr">
        <is>
          <t xml:space="preserve">S1:73</t>
        </is>
      </c>
    </row>
    <row r="66" ht="27" customHeight="1">
      <c r="A66" s="3">
        <v>46286</v>
      </c>
      <c r="B66" s="0" t="inlineStr">
        <is>
          <t xml:space="preserve">TST* BURGER BAR RALEIGH NC</t>
        </is>
      </c>
      <c r="C66" s="2">
        <v>-31.64</v>
      </c>
      <c r="D66" s="0" t="inlineStr">
        <is>
          <t xml:space="preserve">Restaurants &amp; Coffee</t>
        </is>
      </c>
      <c r="E66" s="0" t="inlineStr">
        <is>
          <t xml:space="preserve"/>
        </is>
      </c>
      <c r="F66" s="0" t="inlineStr">
        <is>
          <t xml:space="preserve">S1:74</t>
        </is>
      </c>
    </row>
    <row r="67" ht="27" customHeight="1">
      <c r="A67" s="3">
        <v>46287</v>
      </c>
      <c r="B67" s="0" t="inlineStr">
        <is>
          <t xml:space="preserve">ELECTRIC UTILITY BILLPAY</t>
        </is>
      </c>
      <c r="C67" s="2">
        <v>-92.18</v>
      </c>
      <c r="D67" s="0" t="inlineStr">
        <is>
          <t xml:space="preserve">Utilities</t>
        </is>
      </c>
      <c r="E67" s="0" t="inlineStr">
        <is>
          <t xml:space="preserve"/>
        </is>
      </c>
      <c r="F67" s="0" t="inlineStr">
        <is>
          <t xml:space="preserve">S1:75</t>
        </is>
      </c>
    </row>
    <row r="68" ht="27" customHeight="1">
      <c r="A68" s="3">
        <v>46287</v>
      </c>
      <c r="B68" s="0" t="inlineStr">
        <is>
          <t xml:space="preserve">POS DEBIT STARBUCKS #1042 RALEIGH NC 09/22</t>
        </is>
      </c>
      <c r="C68" s="2">
        <v>-5.16</v>
      </c>
      <c r="D68" s="0" t="inlineStr">
        <is>
          <t xml:space="preserve">Restaurants &amp; Coffee</t>
        </is>
      </c>
      <c r="E68" s="0" t="inlineStr">
        <is>
          <t xml:space="preserve"/>
        </is>
      </c>
      <c r="F68" s="0" t="inlineStr">
        <is>
          <t xml:space="preserve">S1:76</t>
        </is>
      </c>
    </row>
    <row r="69" ht="27" customHeight="1">
      <c r="A69" s="3">
        <v>46287</v>
      </c>
      <c r="B69" s="0" t="inlineStr">
        <is>
          <t xml:space="preserve">AMZN MKTP US*Q22X</t>
        </is>
      </c>
      <c r="C69" s="2">
        <v>-78.14</v>
      </c>
      <c r="D69" s="0" t="inlineStr">
        <is>
          <t xml:space="preserve">Shopping</t>
        </is>
      </c>
      <c r="E69" s="0" t="inlineStr">
        <is>
          <t xml:space="preserve"/>
        </is>
      </c>
      <c r="F69" s="0" t="inlineStr">
        <is>
          <t xml:space="preserve">S1:77</t>
        </is>
      </c>
    </row>
    <row r="70" ht="27" customHeight="1">
      <c r="A70" s="3">
        <v>46287</v>
      </c>
      <c r="B70" s="0" t="inlineStr">
        <is>
          <t xml:space="preserve">SQ * OAK BARBER RALEIGH NC</t>
        </is>
      </c>
      <c r="C70" s="2">
        <v>-32.00</v>
      </c>
      <c r="D70" s="0" t="inlineStr">
        <is>
          <t xml:space="preserve">Personal Care</t>
        </is>
      </c>
      <c r="E70" s="0" t="inlineStr">
        <is>
          <t xml:space="preserve"/>
        </is>
      </c>
      <c r="F70" s="0" t="inlineStr">
        <is>
          <t xml:space="preserve">S1:78</t>
        </is>
      </c>
    </row>
    <row r="71" ht="27" customHeight="1">
      <c r="A71" s="3">
        <v>46288</v>
      </c>
      <c r="B71" s="0" t="inlineStr">
        <is>
          <t xml:space="preserve">PARAMOUNT+</t>
        </is>
      </c>
      <c r="C71" s="2">
        <v>-8.99</v>
      </c>
      <c r="D71" s="0" t="inlineStr">
        <is>
          <t xml:space="preserve">Subscriptions</t>
        </is>
      </c>
      <c r="E71" s="0" t="inlineStr">
        <is>
          <t xml:space="preserve">subscription</t>
        </is>
      </c>
      <c r="F71" s="0" t="inlineStr">
        <is>
          <t xml:space="preserve">S1:79</t>
        </is>
      </c>
    </row>
    <row r="72" ht="27" customHeight="1">
      <c r="A72" s="3">
        <v>46288</v>
      </c>
      <c r="B72" s="0" t="inlineStr">
        <is>
          <t xml:space="preserve">POS DEBIT STARBUCKS #1042 RALEIGH NC 09/23</t>
        </is>
      </c>
      <c r="C72" s="2">
        <v>-5.19</v>
      </c>
      <c r="D72" s="0" t="inlineStr">
        <is>
          <t xml:space="preserve">Restaurants &amp; Coffee</t>
        </is>
      </c>
      <c r="E72" s="0" t="inlineStr">
        <is>
          <t xml:space="preserve"/>
        </is>
      </c>
      <c r="F72" s="0" t="inlineStr">
        <is>
          <t xml:space="preserve">S1:80</t>
        </is>
      </c>
    </row>
    <row r="73" ht="27" customHeight="1">
      <c r="A73" s="3">
        <v>46288</v>
      </c>
      <c r="B73" s="0" t="inlineStr">
        <is>
          <t xml:space="preserve">UBER *EATS</t>
        </is>
      </c>
      <c r="C73" s="2">
        <v>-35.15</v>
      </c>
      <c r="D73" s="0" t="inlineStr">
        <is>
          <t xml:space="preserve">Delivery &amp; Takeout</t>
        </is>
      </c>
      <c r="E73" s="0" t="inlineStr">
        <is>
          <t xml:space="preserve">delivery</t>
        </is>
      </c>
      <c r="F73" s="0" t="inlineStr">
        <is>
          <t xml:space="preserve">S1:81</t>
        </is>
      </c>
    </row>
    <row r="74" ht="27" customHeight="1">
      <c r="A74" s="3">
        <v>46289</v>
      </c>
      <c r="B74" s="0" t="inlineStr">
        <is>
          <t xml:space="preserve">MOBILE PHONE AUTOPAY</t>
        </is>
      </c>
      <c r="C74" s="2">
        <v>-55.00</v>
      </c>
      <c r="D74" s="0" t="inlineStr">
        <is>
          <t xml:space="preserve">Phone &amp; Internet</t>
        </is>
      </c>
      <c r="E74" s="0" t="inlineStr">
        <is>
          <t xml:space="preserve"/>
        </is>
      </c>
      <c r="F74" s="0" t="inlineStr">
        <is>
          <t xml:space="preserve">S1:82</t>
        </is>
      </c>
    </row>
    <row r="75" ht="27" customHeight="1">
      <c r="A75" s="3">
        <v>46289</v>
      </c>
      <c r="B75" s="0" t="inlineStr">
        <is>
          <t xml:space="preserve">POS DEBIT STARBUCKS #1042 RALEIGH NC 09/24</t>
        </is>
      </c>
      <c r="C75" s="2">
        <v>-5.22</v>
      </c>
      <c r="D75" s="0" t="inlineStr">
        <is>
          <t xml:space="preserve">Restaurants &amp; Coffee</t>
        </is>
      </c>
      <c r="E75" s="0" t="inlineStr">
        <is>
          <t xml:space="preserve"/>
        </is>
      </c>
      <c r="F75" s="0" t="inlineStr">
        <is>
          <t xml:space="preserve">S1:83</t>
        </is>
      </c>
    </row>
    <row r="76" ht="27" customHeight="1">
      <c r="A76" s="3">
        <v>46289</v>
      </c>
      <c r="B76" s="0" t="inlineStr">
        <is>
          <t xml:space="preserve">POS DEBIT FOOD LION #0284 RALEIGH NC</t>
        </is>
      </c>
      <c r="C76" s="2">
        <v>-49.88</v>
      </c>
      <c r="D76" s="0" t="inlineStr">
        <is>
          <t xml:space="preserve">Groceries</t>
        </is>
      </c>
      <c r="E76" s="0" t="inlineStr">
        <is>
          <t xml:space="preserve"/>
        </is>
      </c>
      <c r="F76" s="0" t="inlineStr">
        <is>
          <t xml:space="preserve">S1:84</t>
        </is>
      </c>
    </row>
    <row r="77" ht="27" customHeight="1">
      <c r="A77" s="3">
        <v>46289</v>
      </c>
      <c r="B77" s="0" t="inlineStr">
        <is>
          <t xml:space="preserve">ATM CASH WITHDRAWAL RALEIGH NC</t>
        </is>
      </c>
      <c r="C77" s="2">
        <v>-40.00</v>
      </c>
      <c r="D77" s="0" t="inlineStr">
        <is>
          <t xml:space="preserve">Cash &amp; ATM</t>
        </is>
      </c>
      <c r="E77" s="0" t="inlineStr">
        <is>
          <t xml:space="preserve"/>
        </is>
      </c>
      <c r="F77" s="0" t="inlineStr">
        <is>
          <t xml:space="preserve">S1:85</t>
        </is>
      </c>
    </row>
    <row r="78" ht="27" customHeight="1">
      <c r="A78" s="3">
        <v>46289</v>
      </c>
      <c r="B78" s="0" t="inlineStr">
        <is>
          <t xml:space="preserve">NON-NETWORK ATM FEE</t>
        </is>
      </c>
      <c r="C78" s="2">
        <v>-3.00</v>
      </c>
      <c r="D78" s="0" t="inlineStr">
        <is>
          <t xml:space="preserve">Bank Fees &amp; Interest</t>
        </is>
      </c>
      <c r="E78" s="0" t="inlineStr">
        <is>
          <t xml:space="preserve">fee</t>
        </is>
      </c>
      <c r="F78" s="0" t="inlineStr">
        <is>
          <t xml:space="preserve">S1:86</t>
        </is>
      </c>
    </row>
    <row r="79" ht="27" customHeight="1">
      <c r="A79" s="3">
        <v>46289</v>
      </c>
      <c r="B79" s="0" t="inlineStr">
        <is>
          <t xml:space="preserve">ATM OPERATOR FEE</t>
        </is>
      </c>
      <c r="C79" s="2">
        <v>-3.50</v>
      </c>
      <c r="D79" s="0" t="inlineStr">
        <is>
          <t xml:space="preserve">Bank Fees &amp; Interest</t>
        </is>
      </c>
      <c r="E79" s="0" t="inlineStr">
        <is>
          <t xml:space="preserve">fee</t>
        </is>
      </c>
      <c r="F79" s="0" t="inlineStr">
        <is>
          <t xml:space="preserve">S1:87</t>
        </is>
      </c>
    </row>
    <row r="80" ht="27" customHeight="1">
      <c r="A80" s="3">
        <v>46290</v>
      </c>
      <c r="B80" s="0" t="inlineStr">
        <is>
          <t xml:space="preserve">HOME INTERNET AUTOPAY</t>
        </is>
      </c>
      <c r="C80" s="2">
        <v>-65.00</v>
      </c>
      <c r="D80" s="0" t="inlineStr">
        <is>
          <t xml:space="preserve">Phone &amp; Internet</t>
        </is>
      </c>
      <c r="E80" s="0" t="inlineStr">
        <is>
          <t xml:space="preserve"/>
        </is>
      </c>
      <c r="F80" s="0" t="inlineStr">
        <is>
          <t xml:space="preserve">S1:88</t>
        </is>
      </c>
    </row>
    <row r="81" ht="27" customHeight="1">
      <c r="A81" s="3">
        <v>46290</v>
      </c>
      <c r="B81" s="0" t="inlineStr">
        <is>
          <t xml:space="preserve">POS DEBIT STARBUCKS #1042 RALEIGH NC 09/25</t>
        </is>
      </c>
      <c r="C81" s="2">
        <v>-5.25</v>
      </c>
      <c r="D81" s="0" t="inlineStr">
        <is>
          <t xml:space="preserve">Restaurants &amp; Coffee</t>
        </is>
      </c>
      <c r="E81" s="0" t="inlineStr">
        <is>
          <t xml:space="preserve"/>
        </is>
      </c>
      <c r="F81" s="0" t="inlineStr">
        <is>
          <t xml:space="preserve">S1:89</t>
        </is>
      </c>
    </row>
    <row r="82" ht="27" customHeight="1">
      <c r="A82" s="3">
        <v>46290</v>
      </c>
      <c r="B82" s="0" t="inlineStr">
        <is>
          <t xml:space="preserve">DOORDASH*WINGSTOP</t>
        </is>
      </c>
      <c r="C82" s="2">
        <v>-38.04</v>
      </c>
      <c r="D82" s="0" t="inlineStr">
        <is>
          <t xml:space="preserve">Delivery &amp; Takeout</t>
        </is>
      </c>
      <c r="E82" s="0" t="inlineStr">
        <is>
          <t xml:space="preserve">delivery</t>
        </is>
      </c>
      <c r="F82" s="0" t="inlineStr">
        <is>
          <t xml:space="preserve">S1:90</t>
        </is>
      </c>
    </row>
    <row r="83" ht="27" customHeight="1">
      <c r="A83" s="3">
        <v>46290</v>
      </c>
      <c r="B83" s="0" t="inlineStr">
        <is>
          <t xml:space="preserve">POS DEBIT SHELL #0328 RALEIGH NC</t>
        </is>
      </c>
      <c r="C83" s="2">
        <v>-34.08</v>
      </c>
      <c r="D83" s="0" t="inlineStr">
        <is>
          <t xml:space="preserve">Gas &amp; Transit</t>
        </is>
      </c>
      <c r="E83" s="0" t="inlineStr">
        <is>
          <t xml:space="preserve"/>
        </is>
      </c>
      <c r="F83" s="0" t="inlineStr">
        <is>
          <t xml:space="preserve">S1:91</t>
        </is>
      </c>
    </row>
    <row r="84" ht="27" customHeight="1">
      <c r="A84" s="3">
        <v>46291</v>
      </c>
      <c r="B84" s="0" t="inlineStr">
        <is>
          <t xml:space="preserve">AMZN MKTP US*Q26X</t>
        </is>
      </c>
      <c r="C84" s="2">
        <v>-57.86</v>
      </c>
      <c r="D84" s="0" t="inlineStr">
        <is>
          <t xml:space="preserve">Shopping</t>
        </is>
      </c>
      <c r="E84" s="0" t="inlineStr">
        <is>
          <t xml:space="preserve"/>
        </is>
      </c>
      <c r="F84" s="0" t="inlineStr">
        <is>
          <t xml:space="preserve">S1:92</t>
        </is>
      </c>
    </row>
    <row r="85" ht="27" customHeight="1">
      <c r="A85" s="3">
        <v>46291</v>
      </c>
      <c r="B85" s="0" t="inlineStr">
        <is>
          <t xml:space="preserve">SQ * TACO SHOP RALEIGH NC</t>
        </is>
      </c>
      <c r="C85" s="2">
        <v>-24.16</v>
      </c>
      <c r="D85" s="0" t="inlineStr">
        <is>
          <t xml:space="preserve">Restaurants &amp; Coffee</t>
        </is>
      </c>
      <c r="E85" s="0" t="inlineStr">
        <is>
          <t xml:space="preserve"/>
        </is>
      </c>
      <c r="F85" s="0" t="inlineStr">
        <is>
          <t xml:space="preserve">S1:93</t>
        </is>
      </c>
    </row>
    <row r="86" ht="27" customHeight="1">
      <c r="A86" s="3">
        <v>46291</v>
      </c>
      <c r="B86" s="0" t="inlineStr">
        <is>
          <t xml:space="preserve">BOWLING NIGHT</t>
        </is>
      </c>
      <c r="C86" s="2">
        <v>-25.00</v>
      </c>
      <c r="D86" s="0" t="inlineStr">
        <is>
          <t xml:space="preserve">Entertainment</t>
        </is>
      </c>
      <c r="E86" s="0" t="inlineStr">
        <is>
          <t xml:space="preserve"/>
        </is>
      </c>
      <c r="F86" s="0" t="inlineStr">
        <is>
          <t xml:space="preserve">S1:94</t>
        </is>
      </c>
    </row>
    <row r="87" ht="27" customHeight="1">
      <c r="A87" s="3">
        <v>46292</v>
      </c>
      <c r="B87" s="0" t="inlineStr">
        <is>
          <t xml:space="preserve">UBER *EATS</t>
        </is>
      </c>
      <c r="C87" s="2">
        <v>-32.49</v>
      </c>
      <c r="D87" s="0" t="inlineStr">
        <is>
          <t xml:space="preserve">Delivery &amp; Takeout</t>
        </is>
      </c>
      <c r="E87" s="0" t="inlineStr">
        <is>
          <t xml:space="preserve">delivery</t>
        </is>
      </c>
      <c r="F87" s="0" t="inlineStr">
        <is>
          <t xml:space="preserve">S1:95</t>
        </is>
      </c>
    </row>
    <row r="88" ht="27" customHeight="1">
      <c r="A88" s="3">
        <v>46292</v>
      </c>
      <c r="B88" s="0" t="inlineStr">
        <is>
          <t xml:space="preserve">UBER *TRIP</t>
        </is>
      </c>
      <c r="C88" s="2">
        <v>-22.60</v>
      </c>
      <c r="D88" s="0" t="inlineStr">
        <is>
          <t xml:space="preserve">Rideshare</t>
        </is>
      </c>
      <c r="E88" s="0" t="inlineStr">
        <is>
          <t xml:space="preserve"/>
        </is>
      </c>
      <c r="F88" s="0" t="inlineStr">
        <is>
          <t xml:space="preserve">S1:96</t>
        </is>
      </c>
    </row>
    <row r="89" ht="27" customHeight="1">
      <c r="A89" s="3">
        <v>46293</v>
      </c>
      <c r="B89" s="0" t="inlineStr">
        <is>
          <t xml:space="preserve">POS DEBIT STARBUCKS #1042 RALEIGH NC 09/28</t>
        </is>
      </c>
      <c r="C89" s="2">
        <v>-5.34</v>
      </c>
      <c r="D89" s="0" t="inlineStr">
        <is>
          <t xml:space="preserve">Restaurants &amp; Coffee</t>
        </is>
      </c>
      <c r="E89" s="0" t="inlineStr">
        <is>
          <t xml:space="preserve"/>
        </is>
      </c>
      <c r="F89" s="0" t="inlineStr">
        <is>
          <t xml:space="preserve">S1:97</t>
        </is>
      </c>
    </row>
    <row r="90" ht="27" customHeight="1">
      <c r="A90" s="3">
        <v>46293</v>
      </c>
      <c r="B90" s="0" t="inlineStr">
        <is>
          <t xml:space="preserve">DOORDASH*CAVA</t>
        </is>
      </c>
      <c r="C90" s="2">
        <v>-36.28</v>
      </c>
      <c r="D90" s="0" t="inlineStr">
        <is>
          <t xml:space="preserve">Delivery &amp; Takeout</t>
        </is>
      </c>
      <c r="E90" s="0" t="inlineStr">
        <is>
          <t xml:space="preserve">delivery</t>
        </is>
      </c>
      <c r="F90" s="0" t="inlineStr">
        <is>
          <t xml:space="preserve">S1:98</t>
        </is>
      </c>
    </row>
    <row r="91" ht="27" customHeight="1">
      <c r="A91" s="3">
        <v>46293</v>
      </c>
      <c r="B91" s="0" t="inlineStr">
        <is>
          <t xml:space="preserve">ONLINE PAYMENT ATTEMPT</t>
        </is>
      </c>
      <c r="C91" s="2">
        <v>-85.00</v>
      </c>
      <c r="D91" s="0" t="inlineStr">
        <is>
          <t xml:space="preserve">Other</t>
        </is>
      </c>
      <c r="E91" s="0" t="inlineStr">
        <is>
          <t xml:space="preserve"/>
        </is>
      </c>
      <c r="F91" s="0" t="inlineStr">
        <is>
          <t xml:space="preserve">S1:99</t>
        </is>
      </c>
    </row>
    <row r="92" ht="27" customHeight="1">
      <c r="A92" s="3">
        <v>46293</v>
      </c>
      <c r="B92" s="0" t="inlineStr">
        <is>
          <t xml:space="preserve">ONLINE PAYMENT REVERSAL</t>
        </is>
      </c>
      <c r="C92" s="2">
        <v>85.00</v>
      </c>
      <c r="D92" s="0" t="inlineStr">
        <is>
          <t xml:space="preserve">Other</t>
        </is>
      </c>
      <c r="E92" s="0" t="inlineStr">
        <is>
          <t xml:space="preserve"/>
        </is>
      </c>
      <c r="F92" s="0" t="inlineStr">
        <is>
          <t xml:space="preserve">S1:100</t>
        </is>
      </c>
    </row>
    <row r="93" ht="27" customHeight="1">
      <c r="A93" s="3">
        <v>46294</v>
      </c>
      <c r="B93" s="0" t="inlineStr">
        <is>
          <t xml:space="preserve">POS DEBIT STARBUCKS #1042 RALEIGH NC 09/29</t>
        </is>
      </c>
      <c r="C93" s="2">
        <v>-5.37</v>
      </c>
      <c r="D93" s="0" t="inlineStr">
        <is>
          <t xml:space="preserve">Restaurants &amp; Coffee</t>
        </is>
      </c>
      <c r="E93" s="0" t="inlineStr">
        <is>
          <t xml:space="preserve"/>
        </is>
      </c>
      <c r="F93" s="0" t="inlineStr">
        <is>
          <t xml:space="preserve">S1:101</t>
        </is>
      </c>
    </row>
    <row r="94" ht="27" customHeight="1">
      <c r="A94" s="3">
        <v>46294</v>
      </c>
      <c r="B94" s="0" t="inlineStr">
        <is>
          <t xml:space="preserve">POS DEBIT ALDI #0284 RALEIGH NC</t>
        </is>
      </c>
      <c r="C94" s="2">
        <v>-38.91</v>
      </c>
      <c r="D94" s="0" t="inlineStr">
        <is>
          <t xml:space="preserve">Groceries</t>
        </is>
      </c>
      <c r="E94" s="0" t="inlineStr">
        <is>
          <t xml:space="preserve"/>
        </is>
      </c>
      <c r="F94" s="0" t="inlineStr">
        <is>
          <t xml:space="preserve">S1:102</t>
        </is>
      </c>
    </row>
    <row r="95" ht="27" customHeight="1">
      <c r="A95" s="3">
        <v>46294</v>
      </c>
      <c r="B95" s="0" t="inlineStr">
        <is>
          <t xml:space="preserve">OVERDRAFT FEE</t>
        </is>
      </c>
      <c r="C95" s="2">
        <v>-35.00</v>
      </c>
      <c r="D95" s="0" t="inlineStr">
        <is>
          <t xml:space="preserve">Bank Fees &amp; Interest</t>
        </is>
      </c>
      <c r="E95" s="0" t="inlineStr">
        <is>
          <t xml:space="preserve">fee</t>
        </is>
      </c>
      <c r="F95" s="0" t="inlineStr">
        <is>
          <t xml:space="preserve">S1:103</t>
        </is>
      </c>
    </row>
    <row r="96" ht="27" customHeight="1">
      <c r="A96" s="3">
        <v>46294</v>
      </c>
      <c r="B96" s="0" t="inlineStr">
        <is>
          <t xml:space="preserve">INSUFFICIENT FUNDS NSF RETURNED ITEM FEE</t>
        </is>
      </c>
      <c r="C96" s="2">
        <v>-30.00</v>
      </c>
      <c r="D96" s="0" t="inlineStr">
        <is>
          <t xml:space="preserve">Bank Fees &amp; Interest</t>
        </is>
      </c>
      <c r="E96" s="0" t="inlineStr">
        <is>
          <t xml:space="preserve">fee</t>
        </is>
      </c>
      <c r="F96" s="0" t="inlineStr">
        <is>
          <t xml:space="preserve">S1:104</t>
        </is>
      </c>
    </row>
    <row r="97" ht="27" customHeight="1">
      <c r="A97" s="3">
        <v>46295</v>
      </c>
      <c r="B97" s="0" t="inlineStr">
        <is>
          <t xml:space="preserve">POS DEBIT STARBUCKS #1042 RALEIGH NC 09/30</t>
        </is>
      </c>
      <c r="C97" s="2">
        <v>-5.40</v>
      </c>
      <c r="D97" s="0" t="inlineStr">
        <is>
          <t xml:space="preserve">Restaurants &amp; Coffee</t>
        </is>
      </c>
      <c r="E97" s="0" t="inlineStr">
        <is>
          <t xml:space="preserve"/>
        </is>
      </c>
      <c r="F97" s="0" t="inlineStr">
        <is>
          <t xml:space="preserve">S1:105</t>
        </is>
      </c>
    </row>
    <row r="98" ht="27" customHeight="1">
      <c r="A98" s="3">
        <v>46295</v>
      </c>
      <c r="B98" s="0" t="inlineStr">
        <is>
          <t xml:space="preserve">UBER *EATS</t>
        </is>
      </c>
      <c r="C98" s="2">
        <v>-38.56</v>
      </c>
      <c r="D98" s="0" t="inlineStr">
        <is>
          <t xml:space="preserve">Delivery &amp; Takeout</t>
        </is>
      </c>
      <c r="E98" s="0" t="inlineStr">
        <is>
          <t xml:space="preserve">delivery</t>
        </is>
      </c>
      <c r="F98" s="0" t="inlineStr">
        <is>
          <t xml:space="preserve">S1:106</t>
        </is>
      </c>
    </row>
    <row r="99" ht="27" customHeight="1">
      <c r="A99" s="3">
        <v>46295</v>
      </c>
      <c r="B99" s="0" t="inlineStr">
        <is>
          <t xml:space="preserve">MONTHLY MAINTENANCE FEE</t>
        </is>
      </c>
      <c r="C99" s="2">
        <v>-12.00</v>
      </c>
      <c r="D99" s="0" t="inlineStr">
        <is>
          <t xml:space="preserve">Bank Fees &amp; Interest</t>
        </is>
      </c>
      <c r="E99" s="0" t="inlineStr">
        <is>
          <t xml:space="preserve">fee</t>
        </is>
      </c>
      <c r="F99" s="0" t="inlineStr">
        <is>
          <t xml:space="preserve">S1:107</t>
        </is>
      </c>
    </row>
  </sheetData>
  <autoFilter ref="A1:F99"/>
  <pageMargins left="0.3" right="0.3" top="0.4" bottom="0.4" header="0.2" footer="0.2"/>
  <pageSetup paperSize="1" orientation="landscape" fitToWidth="1" fitToHeight="0"/>
  <headerFooter>
    <oddFooter>&amp;CPage &amp;P of &amp;N</oddFooter>
  </headerFooter>
</worksheet>
</file>