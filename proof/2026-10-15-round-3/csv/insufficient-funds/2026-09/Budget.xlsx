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Subscriptions" sheetId="2" r:id="rId2"/>
    <sheet name="Budget" sheetId="3" r:id="rId3"/>
    <sheet name="Leaks" sheetId="4" r:id="rId4"/>
    <sheet name="Every charge" sheetId="5" r:id="rId5"/>
  </sheets>
  <definedNames>
    <definedName name="_xlnm.Print_Titles" localSheetId="0">'Summary'!$1:$1</definedName>
    <definedName name="_xlnm.Print_Titles" localSheetId="1">'Subscriptions'!$1:$1</definedName>
    <definedName name="_xlnm.Print_Titles" localSheetId="2">'Budget'!$1:$1</definedName>
    <definedName name="_xlnm.Print_Titles" localSheetId="3">'Leaks'!$1:$1</definedName>
    <definedName name="_xlnm.Print_Titles" localSheetId="4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6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  <font>
      <b/>
      <sz val="20"/>
      <color rgb="FF243247"/>
      <name val="Calibri"/>
    </font>
    <font>
      <sz val="10"/>
      <color rgb="FF566579"/>
      <name val="Calibri"/>
    </font>
    <font>
      <b/>
      <sz val="11"/>
      <color rgb="FF8A3B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6"/>
  <sheetViews>
    <sheetView workbookViewId="0"/>
  </sheetViews>
  <sheetFormatPr defaultRowHeight="27"/>
  <cols>
    <col min="1" max="1" width="38" customWidth="1"/>
    <col min="2" max="2" width="84" customWidth="1"/>
  </cols>
  <sheetData>
    <row r="1" ht="65" customHeight="1">
      <c r="A1" s="6" t="inlineStr">
        <is>
          <t xml:space="preserve">You brought in $3,280.00. You spent $3,760.35. That's $480.35 more than you made.</t>
        </is>
      </c>
    </row>
    <row r="2" ht="65" customHeight="1">
      <c r="A2" s="6" t="inlineStr">
        <is>
          <t xml:space="preserve">You pay for 13 monthly subscriptions: $170.85 a month ($2,050.20 a year).</t>
        </is>
      </c>
    </row>
    <row r="3" ht="90" customHeight="1">
      <c r="A3" s="6" t="inlineStr">
        <is>
          <t xml:space="preserve">$469.55 a month is leaking ($5,634.60 a year). Top leaks: Delivery (18 orders), Overdraft and NSF fees, and Starbucks (22 visits).</t>
        </is>
      </c>
    </row>
    <row r="4" ht="40" customHeight="1">
      <c r="A4" s="6" t="inlineStr">
        <is>
          <t xml:space="preserve">This budget frees $584.97 a month.</t>
        </is>
      </c>
    </row>
    <row r="5" ht="27" customHeight="1">
      <c r="A5" s="0" t="inlineStr">
        <is>
          <t xml:space="preserve">Money in</t>
        </is>
      </c>
      <c r="B5" s="2">
        <v>3280.00</v>
      </c>
    </row>
    <row r="6" ht="27" customHeight="1">
      <c r="A6" s="0" t="inlineStr">
        <is>
          <t xml:space="preserve">Money out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Subscriptions per month</t>
        </is>
      </c>
      <c r="B8" s="2">
        <v>170.85</v>
      </c>
    </row>
    <row r="9" ht="27" customHeight="1">
      <c r="A9" s="0" t="inlineStr">
        <is>
          <t xml:space="preserve">Subscriptions per year</t>
        </is>
      </c>
      <c r="B9" s="2">
        <v>2050.20</v>
      </c>
    </row>
    <row r="10" ht="27" customHeight="1">
      <c r="A10" s="0" t="inlineStr">
        <is>
          <t xml:space="preserve">Leaks per month</t>
        </is>
      </c>
      <c r="B10" s="2">
        <v>469.55</v>
      </c>
    </row>
    <row r="11" ht="27" customHeight="1">
      <c r="A11" s="0" t="inlineStr">
        <is>
          <t xml:space="preserve">Leaks per year</t>
        </is>
      </c>
      <c r="B11" s="2">
        <v>5634.60</v>
      </c>
    </row>
    <row r="12" ht="27" customHeight="1">
      <c r="A12" s="0" t="inlineStr">
        <is>
          <t xml:space="preserve">What the plan frees</t>
        </is>
      </c>
      <c r="B12" s="2">
        <v>584.97</v>
      </c>
    </row>
    <row r="13" ht="27" customHeight="1">
      <c r="A13" s="0" t="inlineStr">
        <is>
          <t xml:space="preserve">Statement check</t>
        </is>
      </c>
      <c r="B13" s="0" t="inlineStr">
        <is>
          <t xml:space="preserve">Reconciled</t>
        </is>
      </c>
    </row>
    <row r="14" ht="31" customHeight="1">
      <c r="A14" s="7" t="inlineStr">
        <is>
          <t xml:space="preserve">Transfers are excluded. Refunds reduce spending. Card payments are not income.</t>
        </is>
      </c>
    </row>
    <row r="15" ht="31" customHeight="1">
      <c r="A15" s="7" t="inlineStr">
        <is>
          <t xml:space="preserve">Confirm billing intervals and cancels. Yearly amounts are estimates; checks are excluded.</t>
        </is>
      </c>
    </row>
    <row r="16" ht="31" customHeight="1">
      <c r="A16" s="7" t="inlineStr">
        <is>
          <t xml:space="preserve">This is a second look at your own numbers, not financial advice.</t>
        </is>
      </c>
    </row>
  </sheetData>
  <mergeCells count="7">
    <mergeCell ref="A1:B1"/>
    <mergeCell ref="A2:B2"/>
    <mergeCell ref="A3:B3"/>
    <mergeCell ref="A4:B4"/>
    <mergeCell ref="A14:B14"/>
    <mergeCell ref="A15:B15"/>
    <mergeCell ref="A16:B16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2" customWidth="1"/>
    <col min="2" max="2" width="21" customWidth="1"/>
    <col min="3" max="3" width="31" customWidth="1"/>
    <col min="4" max="4" width="17" customWidth="1"/>
    <col min="5" max="5" width="18" customWidth="1"/>
    <col min="6" max="6" width="70" customWidth="1"/>
  </cols>
  <sheetData>
    <row r="1" ht="40" customHeight="1">
      <c r="A1" s="1" t="inlineStr">
        <is>
          <t xml:space="preserve">Subscription</t>
        </is>
      </c>
      <c r="B1" s="1" t="inlineStr">
        <is>
          <t xml:space="preserve">Paid this month</t>
        </is>
      </c>
      <c r="C1" s="1" t="inlineStr">
        <is>
          <t xml:space="preserve">Billing</t>
        </is>
      </c>
      <c r="D1" s="1" t="inlineStr">
        <is>
          <t xml:space="preserve">Monthly equivalent</t>
        </is>
      </c>
      <c r="E1" s="1" t="inlineStr">
        <is>
          <t xml:space="preserve">Yearly estimate</t>
        </is>
      </c>
      <c r="F1" s="1" t="inlineStr">
        <is>
          <t xml:space="preserve">Where to cancel</t>
        </is>
      </c>
    </row>
    <row r="2" ht="27" customHeight="1">
      <c r="A2" s="0" t="inlineStr">
        <is>
          <t xml:space="preserve">Amazon Prime</t>
        </is>
      </c>
      <c r="B2" s="2">
        <v>14.99</v>
      </c>
      <c r="C2" s="0" t="inlineStr">
        <is>
          <t xml:space="preserve">Monthly</t>
        </is>
      </c>
      <c r="D2" s="2">
        <v>14.99</v>
      </c>
      <c r="E2" s="2">
        <v>179.88</v>
      </c>
      <c r="F2" s="0" t="inlineStr">
        <is>
          <t xml:space="preserve">amazon.com &gt; Account &gt; Prime &gt; Manage membership</t>
        </is>
      </c>
    </row>
    <row r="3" ht="40" customHeight="1">
      <c r="A3" s="0" t="inlineStr">
        <is>
          <t xml:space="preserve">Apple (unknown app/iCloud)</t>
        </is>
      </c>
      <c r="B3" s="2">
        <v>2.99</v>
      </c>
      <c r="C3" s="0" t="inlineStr">
        <is>
          <t xml:space="preserve">Monthly</t>
        </is>
      </c>
      <c r="D3" s="2">
        <v>2.99</v>
      </c>
      <c r="E3" s="2">
        <v>35.88</v>
      </c>
      <c r="F3" s="0" t="inlineStr">
        <is>
          <t xml:space="preserve">iPhone Settings &gt; your name &gt; Subscriptions; check Apple purchase history to see what this is</t>
        </is>
      </c>
    </row>
    <row r="4" ht="27" customHeight="1">
      <c r="A4" s="0" t="inlineStr">
        <is>
          <t xml:space="preserve">Audible</t>
        </is>
      </c>
      <c r="B4" s="2">
        <v>14.95</v>
      </c>
      <c r="C4" s="0" t="inlineStr">
        <is>
          <t xml:space="preserve">Monthly</t>
        </is>
      </c>
      <c r="D4" s="2">
        <v>14.95</v>
      </c>
      <c r="E4" s="2">
        <v>179.40</v>
      </c>
      <c r="F4" s="0" t="inlineStr">
        <is>
          <t xml:space="preserve">audible.com &gt; Account details &gt; Cancel membership (web only)</t>
        </is>
      </c>
    </row>
    <row r="5" ht="27" customHeight="1">
      <c r="A5" s="0" t="inlineStr">
        <is>
          <t xml:space="preserve">Disney+ bundle</t>
        </is>
      </c>
      <c r="B5" s="2">
        <v>12.99</v>
      </c>
      <c r="C5" s="0" t="inlineStr">
        <is>
          <t xml:space="preserve">Monthly</t>
        </is>
      </c>
      <c r="D5" s="2">
        <v>12.99</v>
      </c>
      <c r="E5" s="2">
        <v>155.88</v>
      </c>
      <c r="F5" s="0" t="inlineStr">
        <is>
          <t xml:space="preserve">disneyplus.com &gt; Account &gt; Subscription</t>
        </is>
      </c>
    </row>
    <row r="6" ht="27" customHeight="1">
      <c r="A6" s="0" t="inlineStr">
        <is>
          <t xml:space="preserve">DoorDash DashPass</t>
        </is>
      </c>
      <c r="B6" s="2">
        <v>9.99</v>
      </c>
      <c r="C6" s="0" t="inlineStr">
        <is>
          <t xml:space="preserve">Monthly</t>
        </is>
      </c>
      <c r="D6" s="2">
        <v>9.99</v>
      </c>
      <c r="E6" s="2">
        <v>119.88</v>
      </c>
      <c r="F6" s="0" t="inlineStr">
        <is>
          <t xml:space="preserve">DoorDash app &gt; Account &gt; DashPass &gt; End subscription</t>
        </is>
      </c>
    </row>
    <row r="7" ht="27" customHeight="1">
      <c r="A7" s="0" t="inlineStr">
        <is>
          <t xml:space="preserve">YouTube Premium</t>
        </is>
      </c>
      <c r="B7" s="2">
        <v>15.99</v>
      </c>
      <c r="C7" s="0" t="inlineStr">
        <is>
          <t xml:space="preserve">Monthly</t>
        </is>
      </c>
      <c r="D7" s="2">
        <v>15.99</v>
      </c>
      <c r="E7" s="2">
        <v>191.88</v>
      </c>
      <c r="F7" s="0" t="inlineStr">
        <is>
          <t xml:space="preserve">youtube.com/paid_memberships, or Google Play subscriptions</t>
        </is>
      </c>
    </row>
    <row r="8" ht="27" customHeight="1">
      <c r="A8" s="0" t="inlineStr">
        <is>
          <t xml:space="preserve">Hulu</t>
        </is>
      </c>
      <c r="B8" s="2">
        <v>11.99</v>
      </c>
      <c r="C8" s="0" t="inlineStr">
        <is>
          <t xml:space="preserve">Monthly</t>
        </is>
      </c>
      <c r="D8" s="2">
        <v>11.99</v>
      </c>
      <c r="E8" s="2">
        <v>143.88</v>
      </c>
      <c r="F8" s="0" t="inlineStr">
        <is>
          <t xml:space="preserve">hulu.com &gt; Account &gt; Cancel, or the original biller</t>
        </is>
      </c>
    </row>
    <row r="9" ht="27" customHeight="1">
      <c r="A9" s="0" t="inlineStr">
        <is>
          <t xml:space="preserve">Netflix</t>
        </is>
      </c>
      <c r="B9" s="2">
        <v>19.99</v>
      </c>
      <c r="C9" s="0" t="inlineStr">
        <is>
          <t xml:space="preserve">Monthly</t>
        </is>
      </c>
      <c r="D9" s="2">
        <v>19.99</v>
      </c>
      <c r="E9" s="2">
        <v>239.88</v>
      </c>
      <c r="F9" s="0" t="inlineStr">
        <is>
          <t xml:space="preserve">netflix.com &gt; Account &gt; Cancel membership</t>
        </is>
      </c>
    </row>
    <row r="10" ht="27" customHeight="1">
      <c r="A10" s="0" t="inlineStr">
        <is>
          <t xml:space="preserve">ChatGPT Plus</t>
        </is>
      </c>
      <c r="B10" s="2">
        <v>20.00</v>
      </c>
      <c r="C10" s="0" t="inlineStr">
        <is>
          <t xml:space="preserve">Monthly</t>
        </is>
      </c>
      <c r="D10" s="2">
        <v>20.00</v>
      </c>
      <c r="E10" s="2">
        <v>240.00</v>
      </c>
      <c r="F10" s="0" t="inlineStr">
        <is>
          <t xml:space="preserve">chatgpt.com &gt; Settings &gt; Account &gt; Manage subscription</t>
        </is>
      </c>
    </row>
    <row r="11" ht="40" customHeight="1">
      <c r="A11" s="0" t="inlineStr">
        <is>
          <t xml:space="preserve">Paramount+</t>
        </is>
      </c>
      <c r="B11" s="2">
        <v>8.99</v>
      </c>
      <c r="C11" s="0" t="inlineStr">
        <is>
          <t xml:space="preserve">Monthly</t>
        </is>
      </c>
      <c r="D11" s="2">
        <v>8.99</v>
      </c>
      <c r="E11" s="2">
        <v>107.88</v>
      </c>
      <c r="F11" s="0" t="inlineStr">
        <is>
          <t xml:space="preserve">paramountplus.com &gt; Account &gt; Cancel subscription, or the original biller</t>
        </is>
      </c>
    </row>
    <row r="12" ht="40" customHeight="1">
      <c r="A12" s="0" t="inlineStr">
        <is>
          <t xml:space="preserve">Planet Fitness</t>
        </is>
      </c>
      <c r="B12" s="2">
        <v>15.00</v>
      </c>
      <c r="C12" s="0" t="inlineStr">
        <is>
          <t xml:space="preserve">Monthly</t>
        </is>
      </c>
      <c r="D12" s="2">
        <v>15.00</v>
      </c>
      <c r="E12" s="2">
        <v>180.00</v>
      </c>
      <c r="F12" s="0" t="inlineStr">
        <is>
          <t xml:space="preserve">Planet Fitness home club (in person or certified letter), or the app if your club allows</t>
        </is>
      </c>
    </row>
    <row r="13" ht="27" customHeight="1">
      <c r="A13" s="0" t="inlineStr">
        <is>
          <t xml:space="preserve">Spotify</t>
        </is>
      </c>
      <c r="B13" s="2">
        <v>12.99</v>
      </c>
      <c r="C13" s="0" t="inlineStr">
        <is>
          <t xml:space="preserve">Monthly</t>
        </is>
      </c>
      <c r="D13" s="2">
        <v>12.99</v>
      </c>
      <c r="E13" s="2">
        <v>155.88</v>
      </c>
      <c r="F13" s="0" t="inlineStr">
        <is>
          <t xml:space="preserve">spotify.com &gt; Account &gt; Manage plan &gt; Cancel</t>
        </is>
      </c>
    </row>
    <row r="14" ht="27" customHeight="1">
      <c r="A14" s="0" t="inlineStr">
        <is>
          <t xml:space="preserve">Uber One</t>
        </is>
      </c>
      <c r="B14" s="2">
        <v>9.99</v>
      </c>
      <c r="C14" s="0" t="inlineStr">
        <is>
          <t xml:space="preserve">Monthly</t>
        </is>
      </c>
      <c r="D14" s="2">
        <v>9.99</v>
      </c>
      <c r="E14" s="2">
        <v>119.88</v>
      </c>
      <c r="F14" s="0" t="inlineStr">
        <is>
          <t xml:space="preserve">Uber app &gt; Account &gt; Uber One &gt; Manage membership &gt; End</t>
        </is>
      </c>
    </row>
    <row r="15" ht="27" customHeight="1">
      <c r="A15" s="4" t="inlineStr">
        <is>
          <t xml:space="preserve">Total: 13 monthly</t>
        </is>
      </c>
      <c r="B15" s="4" t="inlineStr">
        <is>
          <t xml:space="preserve"/>
        </is>
      </c>
      <c r="C15" s="4" t="inlineStr">
        <is>
          <t xml:space="preserve"/>
        </is>
      </c>
      <c r="D15" s="5">
        <f>SUM(D2:D14)</f>
        <v>170.85</v>
      </c>
      <c r="E15" s="5">
        <f>SUM(E2:E14)</f>
        <v>2050.20</v>
      </c>
      <c r="F15" s="4" t="inlineStr">
        <is>
          <t xml:space="preserve"/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E36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40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at this month's cost; roommate's $60 share counted separately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$55 + internet $65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Same as September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Same as September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400.00</v>
      </c>
      <c r="D9" s="2">
        <f>C9-B9</f>
        <v>31.72</v>
      </c>
      <c r="E9" s="0" t="inlineStr">
        <is>
          <t xml:space="preserve">Up about $32 to cover more meals at home</t>
        </is>
      </c>
    </row>
    <row r="10" ht="27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of September's 18 delivery orders</t>
        </is>
      </c>
    </row>
    <row r="11" ht="27" customHeight="1">
      <c r="A11" s="0" t="inlineStr">
        <is>
          <t xml:space="preserve">Restaurants &amp; Coffee</t>
        </is>
      </c>
      <c r="B11" s="2">
        <v>191.72</v>
      </c>
      <c r="C11" s="2">
        <v>137.17</v>
      </c>
      <c r="D11" s="2">
        <f>C11-B11</f>
        <v>-54.55</v>
      </c>
      <c r="E11" s="0" t="inlineStr">
        <is>
          <t xml:space="preserve">Half as many Starbucks stops; sit-down meals unchanged</t>
        </is>
      </c>
    </row>
    <row r="12" ht="27" customHeight="1">
      <c r="A12" s="0" t="inlineStr">
        <is>
          <t xml:space="preserve">Subscriptions</t>
        </is>
      </c>
      <c r="B12" s="2">
        <v>170.85</v>
      </c>
      <c r="C12" s="2">
        <v>138.88</v>
      </c>
      <c r="D12" s="2">
        <f>C12-B12</f>
        <v>-31.97</v>
      </c>
      <c r="E12" s="0" t="inlineStr">
        <is>
          <t xml:space="preserve">After canceling Spotify, Paramount+ and DashPass</t>
        </is>
      </c>
    </row>
    <row r="13" ht="27" customHeight="1">
      <c r="A13" s="0" t="inlineStr">
        <is>
          <t xml:space="preserve">Shopping</t>
        </is>
      </c>
      <c r="B13" s="2">
        <v>327.14</v>
      </c>
      <c r="C13" s="2">
        <v>200.00</v>
      </c>
      <c r="D13" s="2">
        <f>C13-B13</f>
        <v>-127.14</v>
      </c>
      <c r="E13" s="0" t="inlineStr">
        <is>
          <t xml:space="preserve">Cut from $327.14: about two fewer Amazon orders</t>
        </is>
      </c>
    </row>
    <row r="14" ht="27" customHeight="1">
      <c r="A14" s="0" t="inlineStr">
        <is>
          <t xml:space="preserve">Health &amp; Fitness</t>
        </is>
      </c>
      <c r="B14" s="2">
        <v>0.00</v>
      </c>
      <c r="C14" s="2">
        <v>0.00</v>
      </c>
      <c r="D14" s="2">
        <f>C14-B14</f>
        <v>0.00</v>
      </c>
      <c r="E14" s="0" t="inlineStr">
        <is>
          <t xml:space="preserve">Gym is under Subscriptions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Haircut unchanged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44.50</v>
      </c>
      <c r="D16" s="2">
        <f>C16-B16</f>
        <v>0.00</v>
      </c>
      <c r="E16" s="0" t="inlineStr">
        <is>
          <t xml:space="preserve">Fun money kept: movies and bowling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Maintenance fee kept until you confirm a waiver; ATM and overdraft fees avoided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60.00</v>
      </c>
      <c r="D22" s="2">
        <f>C22-B22</f>
        <v>-20.00</v>
      </c>
      <c r="E22" s="0" t="inlineStr">
        <is>
          <t xml:space="preserve">Slightly less cash, taken from your own bank's ATMs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104.62</v>
      </c>
      <c r="D23" s="2">
        <f>C23-B23</f>
        <v>104.62</v>
      </c>
      <c r="E23" s="0" t="inlineStr">
        <is>
          <t xml:space="preserve">All of it to a starter buffer so the account stops going negative</t>
        </is>
      </c>
    </row>
    <row r="24" ht="27" customHeight="1">
      <c r="A24" s="0" t="inlineStr">
        <is>
          <t xml:space="preserve">Other</t>
        </is>
      </c>
      <c r="B24" s="2">
        <v>0.00</v>
      </c>
      <c r="C24" s="2">
        <v>0.00</v>
      </c>
      <c r="D24" s="2">
        <f>C24-B24</f>
        <v>0.00</v>
      </c>
      <c r="E24" s="0" t="inlineStr">
        <is>
          <t xml:space="preserve">Unused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received</t>
        </is>
      </c>
    </row>
    <row r="27" ht="27" customHeight="1">
      <c r="A27" s="0" t="inlineStr">
        <is>
          <t xml:space="preserve">Buffer within Savings</t>
        </is>
      </c>
      <c r="B27" s="0" t="inlineStr">
        <is>
          <t xml:space="preserve"/>
        </is>
      </c>
      <c r="C27" s="2">
        <v>104.62</v>
      </c>
      <c r="D27" s="0" t="inlineStr">
        <is>
          <t xml:space="preserve"/>
        </is>
      </c>
      <c r="E27" s="0" t="inlineStr">
        <is>
          <t xml:space="preserve">Already included in Savings</t>
        </is>
      </c>
    </row>
    <row r="28" ht="40" customHeight="1">
      <c r="A28" s="0" t="inlineStr">
        <is>
          <t xml:space="preserve">Buffer after allocation</t>
        </is>
      </c>
      <c r="B28" s="0" t="inlineStr">
        <is>
          <t xml:space="preserve"/>
        </is>
      </c>
      <c r="C28" s="2">
        <v>-20.73</v>
      </c>
      <c r="D28" s="0" t="inlineStr">
        <is>
          <t xml:space="preserve"/>
        </is>
      </c>
      <c r="E28" s="0" t="inlineStr">
        <is>
          <t xml:space="preserve">After restoring any negative starting balance</t>
        </is>
      </c>
    </row>
    <row r="29" ht="27" customHeight="1">
      <c r="A29" s="0" t="inlineStr">
        <is>
          <t xml:space="preserve">Transfers (excluded)</t>
        </is>
      </c>
      <c r="B29" s="2">
        <v>-60.00</v>
      </c>
      <c r="C29" s="2">
        <v>0.00</v>
      </c>
      <c r="D29" s="0" t="inlineStr">
        <is>
          <t xml:space="preserve"/>
        </is>
      </c>
      <c r="E29" s="0" t="inlineStr">
        <is>
          <t xml:space="preserve">Excluded from the totals above</t>
        </is>
      </c>
    </row>
    <row r="30" ht="27" customHeight="1">
      <c r="A30" s="0" t="inlineStr">
        <is>
          <t xml:space="preserve">How to change this</t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Tell Claude what to keep, then rebuild.</t>
        </is>
      </c>
    </row>
    <row r="31" ht="27" customHeight="1">
      <c r="A31" s="0" t="inlineStr">
        <is>
          <t xml:space="preserve">Assumption</t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Keep YouTube Premium, cancel Spotify</t>
        </is>
      </c>
    </row>
    <row r="32" ht="27" customHeight="1">
      <c r="A32" s="0" t="inlineStr">
        <is>
          <t xml:space="preserve">Assumption</t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>Keep Netflix, Prime and the Disney bundle; cancel Paramount+</t>
        </is>
      </c>
    </row>
    <row r="33" ht="27" customHeight="1">
      <c r="A33" s="0" t="inlineStr">
        <is>
          <t xml:space="preserve">Assumption</t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>Keep Uber One, cancel DashPass</t>
        </is>
      </c>
    </row>
    <row r="34" ht="27" customHeight="1">
      <c r="A34" s="0" t="inlineStr">
        <is>
          <t xml:space="preserve">Assumption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>Hulu and Apple charges stay until you check them</t>
        </is>
      </c>
    </row>
    <row r="35" ht="27" customHeight="1">
      <c r="A35" s="0" t="inlineStr">
        <is>
          <t xml:space="preserve">Assumption</t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Roommate's $60 utilities share is a reimbursement, not income</t>
        </is>
      </c>
    </row>
    <row r="36" ht="40" customHeight="1">
      <c r="A36" s="0" t="inlineStr">
        <is>
          <t xml:space="preserve">Assumption</t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>An $85 online payment on 9/28 was returned; that bill is probably still due and is not in this budget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6" customWidth="1"/>
    <col min="2" max="2" width="23" customWidth="1"/>
    <col min="3" max="3" width="17" customWidth="1"/>
    <col min="4" max="4" width="52" customWidth="1"/>
    <col min="5" max="5" width="48" customWidth="1"/>
    <col min="6" max="6" width="48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 or one-off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Charges</t>
        </is>
      </c>
    </row>
    <row r="2" ht="145" customHeight="1">
      <c r="A2" s="0" t="inlineStr">
        <is>
          <t xml:space="preserve">Delivery, 18 orders</t>
        </is>
      </c>
      <c r="B2" s="2">
        <v>305.03</v>
      </c>
      <c r="C2" s="2">
        <v>3660.36</v>
      </c>
      <c r="D2" s="0" t="inlineStr">
        <is>
          <t xml:space="preserve">Order half as often; keep easy meals at home.</t>
        </is>
      </c>
      <c r="E2" s="0" t="inlineStr">
        <is>
          <t xml:space="preserve"/>
        </is>
      </c>
      <c r="F2" s="0" t="inlineStr">
        <is>
          <t xml:space="preserve">9/2 DoorDash orders, 9/4 Uber Eats orders, 9/5 DoorDash orders, 9/6 Uber Eats orders, 9/8 DoorDash orders, 9/10 Uber Eats orders, 9/11 DoorDash orders, 9/13 Uber Eats orders, 9/15 DoorDash orders, 9/16 Uber Eats orders, 9/18 DoorDash orders, 9/20 Uber Eats orders, 9/21 DoorDash orders, 9/23 Uber Eats orders, 9/25 DoorDash orders, 9/27 Uber Eats orders, 9/28 DoorDash orders, 9/30 Uber Eats orders</t>
        </is>
      </c>
    </row>
    <row r="3" ht="55" customHeight="1">
      <c r="A3" s="0" t="inlineStr">
        <is>
          <t xml:space="preserve">Overdraft and NSF fees</t>
        </is>
      </c>
      <c r="B3" s="2">
        <v>65.00</v>
      </c>
      <c r="C3" s="2">
        <v>780.00</v>
      </c>
      <c r="D3" s="0" t="inlineStr">
        <is>
          <t xml:space="preserve">Keep the starter buffer, set a low-balance alert, and turn off overdraft coverage for card purchases</t>
        </is>
      </c>
      <c r="E3" s="0" t="inlineStr">
        <is>
          <t xml:space="preserve"/>
        </is>
      </c>
      <c r="F3" s="0" t="inlineStr">
        <is>
          <t xml:space="preserve">9/29 Overdraft fee, 9/29 NSF returned-item fee</t>
        </is>
      </c>
    </row>
    <row r="4" ht="130" customHeight="1">
      <c r="A4" s="0" t="inlineStr">
        <is>
          <t xml:space="preserve">Starbucks, 22 visits</t>
        </is>
      </c>
      <c r="B4" s="2">
        <v>54.55</v>
      </c>
      <c r="C4" s="2">
        <v>654.60</v>
      </c>
      <c r="D4" s="0" t="inlineStr">
        <is>
          <t xml:space="preserve">Make half as many of these small purchases.</t>
        </is>
      </c>
      <c r="E4" s="0" t="inlineStr">
        <is>
          <t xml:space="preserve"/>
        </is>
      </c>
      <c r="F4" s="0" t="inlineStr">
        <is>
          <t xml:space="preserve">9/1 Starbucks, 9/2 Starbucks, 9/3 Starbucks, 9/4 Starbucks, 9/7 Starbucks, 9/8 Starbucks, 9/9 Starbucks, 9/10 Starbucks, 9/11 Starbucks, 9/14 Starbucks, 9/15 Starbucks, 9/16 Starbucks, 9/17 Starbucks, 9/18 Starbucks, 9/21 Starbucks, 9/22 Starbucks, 9/23 Starbucks, 9/24 Starbucks, 9/25 Starbucks, 9/28 Starbucks, 9/29 Starbucks, 9/30 Starbucks</t>
        </is>
      </c>
    </row>
    <row r="5" ht="55" customHeight="1">
      <c r="A5" s="0" t="inlineStr">
        <is>
          <t xml:space="preserve">ATM fees</t>
        </is>
      </c>
      <c r="B5" s="2">
        <v>13.00</v>
      </c>
      <c r="C5" s="2">
        <v>156.00</v>
      </c>
      <c r="D5" s="0" t="inlineStr">
        <is>
          <t xml:space="preserve">Use your own bank's ATMs or get cash back at the grocery store; two out-of-network withdrawals cost $13</t>
        </is>
      </c>
      <c r="E5" s="0" t="inlineStr">
        <is>
          <t xml:space="preserve"/>
        </is>
      </c>
      <c r="F5" s="0" t="inlineStr">
        <is>
          <t xml:space="preserve">9/12 Out-of-network ATM fee (bank), 9/12 ATM operator surcharge, 9/24 Out-of-network ATM fee (bank), 9/24 ATM operator surcharge</t>
        </is>
      </c>
    </row>
    <row r="6" ht="40" customHeight="1">
      <c r="A6" s="0" t="inlineStr">
        <is>
          <t xml:space="preserve">Two music services</t>
        </is>
      </c>
      <c r="B6" s="2">
        <v>12.99</v>
      </c>
      <c r="C6" s="2">
        <v>155.88</v>
      </c>
      <c r="D6" s="0" t="inlineStr">
        <is>
          <t xml:space="preserve">Cancel Spotify; YouTube Premium already includes YouTube Music</t>
        </is>
      </c>
      <c r="E6" s="0" t="inlineStr">
        <is>
          <t xml:space="preserve">spotify.com &gt; Account &gt; Manage plan &gt; Cancel</t>
        </is>
      </c>
      <c r="F6" s="0" t="inlineStr">
        <is>
          <t xml:space="preserve">9/6 Spotify</t>
        </is>
      </c>
    </row>
    <row r="7" ht="40" customHeight="1">
      <c r="A7" s="0" t="inlineStr">
        <is>
          <t xml:space="preserve">Two delivery passes</t>
        </is>
      </c>
      <c r="B7" s="2">
        <v>9.99</v>
      </c>
      <c r="C7" s="2">
        <v>119.88</v>
      </c>
      <c r="D7" s="0" t="inlineStr">
        <is>
          <t xml:space="preserve">Cancel DashPass; with half as many orders one pass is enough, and Uber One also covers rides</t>
        </is>
      </c>
      <c r="E7" s="0" t="inlineStr">
        <is>
          <t xml:space="preserve">DoorDash app &gt; Account &gt; DashPass &gt; End subscription</t>
        </is>
      </c>
      <c r="F7" s="0" t="inlineStr">
        <is>
          <t xml:space="preserve">9/15 DoorDash DashPass</t>
        </is>
      </c>
    </row>
    <row r="8" ht="40" customHeight="1">
      <c r="A8" s="0" t="inlineStr">
        <is>
          <t xml:space="preserve">Paramount+ on top of four other video services</t>
        </is>
      </c>
      <c r="B8" s="2">
        <v>8.99</v>
      </c>
      <c r="C8" s="2">
        <v>107.88</v>
      </c>
      <c r="D8" s="0" t="inlineStr">
        <is>
          <t xml:space="preserve">Cancel Paramount+; Netflix, Prime and the Disney bundle remain</t>
        </is>
      </c>
      <c r="E8" s="0" t="inlineStr">
        <is>
          <t xml:space="preserve">paramountplus.com &gt; Account &gt; Cancel subscription</t>
        </is>
      </c>
      <c r="F8" s="0" t="inlineStr">
        <is>
          <t xml:space="preserve">9/23 Paramount+</t>
        </is>
      </c>
    </row>
    <row r="9" ht="85" customHeight="1">
      <c r="A9" s="0" t="inlineStr">
        <is>
          <t xml:space="preserve">Five video services (check this)</t>
        </is>
      </c>
      <c r="B9" s="2">
        <v>68.95</v>
      </c>
      <c r="C9" s="0" t="inlineStr">
        <is>
          <t xml:space="preserve"/>
        </is>
      </c>
      <c r="D9" s="0" t="inlineStr">
        <is>
          <t xml:space="preserve">Prime is mostly shipping and the Disney bundle may include Hulu; after canceling Paramount+, consider rotating Netflix month to month Reason: Prime is mainly for shipping and Hulu is covered by the bundle check; Paramount+ is canceled separately</t>
        </is>
      </c>
      <c r="E9" s="0" t="inlineStr">
        <is>
          <t xml:space="preserve">Each service's account page</t>
        </is>
      </c>
      <c r="F9" s="0" t="inlineStr">
        <is>
          <t xml:space="preserve">9/13 Amazon Prime, 9/3 Disney+ bundle, 9/3 Hulu, 9/2 Netflix, 9/23 Paramount+</t>
        </is>
      </c>
    </row>
    <row r="10" ht="55" customHeight="1">
      <c r="A10" s="0" t="inlineStr">
        <is>
          <t xml:space="preserve">Two identical Target charges (check this)</t>
        </is>
      </c>
      <c r="B10" s="2">
        <v>28.74</v>
      </c>
      <c r="C10" s="0" t="inlineStr">
        <is>
          <t xml:space="preserve"/>
        </is>
      </c>
      <c r="D10" s="0" t="inlineStr">
        <is>
          <t xml:space="preserve">Two $28.74 charges on 9/18: check your receipt; if it was one purchase, ask Target or the bank to reverse one</t>
        </is>
      </c>
      <c r="E10" s="0" t="inlineStr">
        <is>
          <t xml:space="preserve">Target receipt / bank dispute</t>
        </is>
      </c>
      <c r="F10" s="0" t="inlineStr">
        <is>
          <t xml:space="preserve">9/18 Target, 9/18 Target</t>
        </is>
      </c>
    </row>
    <row r="11" ht="70" customHeight="1">
      <c r="A11" s="0" t="inlineStr">
        <is>
          <t xml:space="preserve">Hulu may already be in the Disney bundle (check this)</t>
        </is>
      </c>
      <c r="B11" s="2">
        <v>24.98</v>
      </c>
      <c r="C11" s="0" t="inlineStr">
        <is>
          <t xml:space="preserve"/>
        </is>
      </c>
      <c r="D11" s="0" t="inlineStr">
        <is>
          <t xml:space="preserve">If your Disney bundle includes Hulu, cancel the standalone $11.99 Hulu Reason: The statement can't show whether your Disney bundle already includes Hulu</t>
        </is>
      </c>
      <c r="E11" s="0" t="inlineStr">
        <is>
          <t xml:space="preserve">hulu.com &gt; Account &gt; Cancel, or the original biller</t>
        </is>
      </c>
      <c r="F11" s="0" t="inlineStr">
        <is>
          <t xml:space="preserve">9/3 Disney+ bundle, 9/3 Hulu</t>
        </is>
      </c>
    </row>
    <row r="12" ht="70" customHeight="1">
      <c r="A12" s="0" t="inlineStr">
        <is>
          <t xml:space="preserve">Apple charge and Audible (check this)</t>
        </is>
      </c>
      <c r="B12" s="2">
        <v>17.94</v>
      </c>
      <c r="C12" s="0" t="inlineStr">
        <is>
          <t xml:space="preserve"/>
        </is>
      </c>
      <c r="D12" s="0" t="inlineStr">
        <is>
          <t xml:space="preserve">Different services, not duplicates: check Apple purchase history for what the $2.99 is, and whether you use Audible credits Reason: Apple's $2.99 and Audible are different services, not duplicates</t>
        </is>
      </c>
      <c r="E12" s="0" t="inlineStr">
        <is>
          <t xml:space="preserve">iPhone Settings &gt; your name &gt; Subscriptions; audible.com &gt; Account details</t>
        </is>
      </c>
      <c r="F12" s="0" t="inlineStr">
        <is>
          <t xml:space="preserve">9/11 Apple (unknown app/iCloud), 9/17 Audible</t>
        </is>
      </c>
    </row>
    <row r="13" ht="55" customHeight="1">
      <c r="A13" s="0" t="inlineStr">
        <is>
          <t xml:space="preserve">Monthly maintenance fee (check this)</t>
        </is>
      </c>
      <c r="B13" s="2">
        <v>12.00</v>
      </c>
      <c r="C13" s="0" t="inlineStr">
        <is>
          <t xml:space="preserve"/>
        </is>
      </c>
      <c r="D13" s="0" t="inlineStr">
        <is>
          <t xml:space="preserve">Ask the bank how to waive the $12 monthly fee (often direct deposit or a minimum balance) or switch to a no-fee account</t>
        </is>
      </c>
      <c r="E13" s="0" t="inlineStr">
        <is>
          <t xml:space="preserve"/>
        </is>
      </c>
      <c r="F13" s="0" t="inlineStr">
        <is>
          <t xml:space="preserve">9/30 Monthly maintenance fee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S1:10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S1:11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S1:12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S1:13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S1:14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S1:15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S1:16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S1:17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S1:18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S1:19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S1:20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S1:21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S1:22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S1:23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S1:24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S1:25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S1:26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S1:27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S1:28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S1:29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S1:30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S1:31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S1:32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S1:33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S1:34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S1:35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S1:36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S1:37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S1:38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S1:39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S1:40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S1:41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S1:42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S1:43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S1:44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S1:45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Subscriptions</t>
        </is>
      </c>
      <c r="E38" s="0" t="inlineStr">
        <is>
          <t xml:space="preserve">subscription</t>
        </is>
      </c>
      <c r="F38" s="0" t="inlineStr">
        <is>
          <t xml:space="preserve">S1:46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S1:47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S1:48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S1:49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S1:50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S1:51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S1:52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S1:53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S1:54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S1:55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S1:56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S1:57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S1:58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S1:59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S1:60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S1:61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S1:62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S1:63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S1:64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S1:65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S1:66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S1:67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S1:68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S1:69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S1:70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S1:71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S1:72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S1:73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S1:74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S1:75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S1:76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S1:77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S1:78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S1:79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S1:80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S1:81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S1:82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S1:83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S1:84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S1:85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S1:86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S1:87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S1:88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S1:89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S1:90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S1:91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S1:92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S1:93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S1:94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S1:95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S1:96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S1:97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S1:98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Transfers</t>
        </is>
      </c>
      <c r="E91" s="0" t="inlineStr">
        <is>
          <t xml:space="preserve"/>
        </is>
      </c>
      <c r="F91" s="0" t="inlineStr">
        <is>
          <t xml:space="preserve">S1:99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Transfers</t>
        </is>
      </c>
      <c r="E92" s="0" t="inlineStr">
        <is>
          <t xml:space="preserve"/>
        </is>
      </c>
      <c r="F92" s="0" t="inlineStr">
        <is>
          <t xml:space="preserve">S1:100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S1:101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S1:102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S1:103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S1:104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S1:105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S1:106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S1:107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